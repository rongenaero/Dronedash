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nak\Desktop\Drone Dashboard\data\"/>
    </mc:Choice>
  </mc:AlternateContent>
  <xr:revisionPtr revIDLastSave="0" documentId="13_ncr:1_{64D202CD-85D9-4CDA-9723-6157A22C5947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Customers" sheetId="1" state="hidden" r:id="rId1"/>
    <sheet name="Sheet1" sheetId="2" state="hidden" r:id="rId2"/>
    <sheet name="Drone details" sheetId="3" r:id="rId3"/>
    <sheet name="Customer details" sheetId="6" r:id="rId4"/>
    <sheet name="Dashboard" sheetId="5" r:id="rId5"/>
    <sheet name="Sheet3" sheetId="4" state="hidden" r:id="rId6"/>
  </sheets>
  <definedNames>
    <definedName name="_xlnm._FilterDatabase" localSheetId="2" hidden="1">'Drone details'!$A$1:$N$447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5" l="1" a="1"/>
  <c r="I7" i="5" s="1"/>
  <c r="I6" i="5"/>
  <c r="J7" i="5" l="1" a="1"/>
  <c r="J7" i="5" s="1"/>
  <c r="J6" i="5" a="1"/>
  <c r="J6" i="5" s="1"/>
  <c r="K7" i="5" l="1" a="1"/>
  <c r="K7" i="5" s="1"/>
  <c r="K6" i="5" a="1"/>
  <c r="K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tc={FC669703-9CAC-4A8B-A812-657A0F787DC6}</author>
  </authors>
  <commentList>
    <comment ref="I1" authorId="0" shapeId="0" xr:uid="{FC669703-9CAC-4A8B-A812-657A0F787D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Proxy for commissioning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<sst xmlns="http://schemas.openxmlformats.org/spreadsheetml/2006/main" count="5786" uniqueCount="1953">
  <si>
    <t>name</t>
  </si>
  <si>
    <t>created_date</t>
  </si>
  <si>
    <t>GA</t>
  </si>
  <si>
    <t>2022:06:07</t>
  </si>
  <si>
    <t>General Aeronautics</t>
  </si>
  <si>
    <t>Bayer</t>
  </si>
  <si>
    <t>2022:07:15</t>
  </si>
  <si>
    <t>PI Industries</t>
  </si>
  <si>
    <t>2022:08:17</t>
  </si>
  <si>
    <t>FMC</t>
  </si>
  <si>
    <t>2022:11:04</t>
  </si>
  <si>
    <t>BASF INDIA LIMITED</t>
  </si>
  <si>
    <t>2022:11:21</t>
  </si>
  <si>
    <t>Syngenta India Ltd</t>
  </si>
  <si>
    <t>2023:01:05</t>
  </si>
  <si>
    <t>Tractors and Farm Equipment Lt</t>
  </si>
  <si>
    <t>2023:01:11</t>
  </si>
  <si>
    <t>Bayer Sale</t>
  </si>
  <si>
    <t>2023:01:12</t>
  </si>
  <si>
    <t>GA OPS</t>
  </si>
  <si>
    <t>2023:01:17</t>
  </si>
  <si>
    <t>Bayer Crop Science Limited CIRD</t>
  </si>
  <si>
    <t>2023:02:15</t>
  </si>
  <si>
    <t>Centurion University</t>
  </si>
  <si>
    <t>2023:03:18</t>
  </si>
  <si>
    <t>IFFCO ONE</t>
  </si>
  <si>
    <t>2023:07:25</t>
  </si>
  <si>
    <t>Monsanto Holdings Pvt Ltd</t>
  </si>
  <si>
    <t>2023:10:31</t>
  </si>
  <si>
    <t>IFFCO</t>
  </si>
  <si>
    <t>2023:11:30</t>
  </si>
  <si>
    <t>AIF Vinay</t>
  </si>
  <si>
    <t>2023:12:29</t>
  </si>
  <si>
    <t>GA Test</t>
  </si>
  <si>
    <t>2024:01:05</t>
  </si>
  <si>
    <t>Agronomics Pvt Ltd</t>
  </si>
  <si>
    <t>2024:01:06</t>
  </si>
  <si>
    <t>SR and Company</t>
  </si>
  <si>
    <t>SVERI College of Engineering</t>
  </si>
  <si>
    <t>2024:02:05</t>
  </si>
  <si>
    <t>Vreedhi Services</t>
  </si>
  <si>
    <t>2024:02:15</t>
  </si>
  <si>
    <t>Indian Institute of Water Management</t>
  </si>
  <si>
    <t>2024:03:26</t>
  </si>
  <si>
    <t>Yamaha Motor Solutions India Pvt Ltd</t>
  </si>
  <si>
    <t>2024:05:21</t>
  </si>
  <si>
    <t>Adani Skill Development</t>
  </si>
  <si>
    <t>2024:06:28</t>
  </si>
  <si>
    <t>Chambal Kota</t>
  </si>
  <si>
    <t>2024:07:12</t>
  </si>
  <si>
    <t>Sanskardham Drone Academy</t>
  </si>
  <si>
    <t>2024:07:17</t>
  </si>
  <si>
    <t>BASF SP</t>
  </si>
  <si>
    <t>2024:07:22</t>
  </si>
  <si>
    <t>Agronomics Demand Provider</t>
  </si>
  <si>
    <t>Krishi Farm Solutions</t>
  </si>
  <si>
    <t>Chambal Lucknow</t>
  </si>
  <si>
    <t>2024:07:25</t>
  </si>
  <si>
    <t>Chambal Agra</t>
  </si>
  <si>
    <t>Chambal Bareilly</t>
  </si>
  <si>
    <t>IFFCO Demand Provider</t>
  </si>
  <si>
    <t>2024:07:26</t>
  </si>
  <si>
    <t>Prabhakar Agencies</t>
  </si>
  <si>
    <t>2024:08:14</t>
  </si>
  <si>
    <t>Sri Raghavendra Agencies</t>
  </si>
  <si>
    <t>Ram Agro Agencies</t>
  </si>
  <si>
    <t>Ganesh krishi vikas kendra</t>
  </si>
  <si>
    <t>Raitanna Seeds And Pesticides</t>
  </si>
  <si>
    <t>Hanuman Agros</t>
  </si>
  <si>
    <t>Sri Ramachandra Agencies</t>
  </si>
  <si>
    <t>New Gandhi Krushi Kendra</t>
  </si>
  <si>
    <t>Krishi Beej Bhandar</t>
  </si>
  <si>
    <t>Sharana Agro Agencies</t>
  </si>
  <si>
    <t>Tanmai Marketing Corporation</t>
  </si>
  <si>
    <t>Sri Lakshmi Venkateswara Agro Traders</t>
  </si>
  <si>
    <t>Bharat Krishi Kendra</t>
  </si>
  <si>
    <t>Fowler Westrup Pvt Ltd</t>
  </si>
  <si>
    <t>2024:08:16</t>
  </si>
  <si>
    <t>Sri Raja Rajeshwari Traders</t>
  </si>
  <si>
    <t>2024:08:25</t>
  </si>
  <si>
    <t>General Aeronautics PI</t>
  </si>
  <si>
    <t>2024:09:19</t>
  </si>
  <si>
    <t>Demo Chatbot Customer</t>
  </si>
  <si>
    <t>2024:09:23</t>
  </si>
  <si>
    <t>Annadhata Agrospray</t>
  </si>
  <si>
    <t>2024:12:04</t>
  </si>
  <si>
    <t>Prajapati Tusharkumar Mukeshbhai Agriown</t>
  </si>
  <si>
    <t>2024:12:07</t>
  </si>
  <si>
    <t>Rahul Prajapati AgriOwn</t>
  </si>
  <si>
    <t>2025:01:17</t>
  </si>
  <si>
    <t>Tarence Naveen Dsouza</t>
  </si>
  <si>
    <t>Khetashi Arjan Chavada</t>
  </si>
  <si>
    <t>2025:02:03</t>
  </si>
  <si>
    <t>Ms Harlal Mathuralal</t>
  </si>
  <si>
    <t>2025:02:13</t>
  </si>
  <si>
    <t>Ravikumar Narasinhbhai Patel</t>
  </si>
  <si>
    <t>2025:02:16</t>
  </si>
  <si>
    <t>Rabari Kumabhai Thakarshi</t>
  </si>
  <si>
    <t>KailashBhai Rajeshkumar Mali</t>
  </si>
  <si>
    <t>2025:03:10</t>
  </si>
  <si>
    <t>Dhruv Parikh Jemix Droneops Ventures</t>
  </si>
  <si>
    <t>2025:03:21</t>
  </si>
  <si>
    <t>Jaydip Laljibhai Shikhaliya</t>
  </si>
  <si>
    <t>2025:05:31</t>
  </si>
  <si>
    <t>Charoliya Mahamadshabir Bashirbhai</t>
  </si>
  <si>
    <t>2025:06:23</t>
  </si>
  <si>
    <t>Faizur Sherasiya</t>
  </si>
  <si>
    <t>Vihan Patel</t>
  </si>
  <si>
    <t>2025:06:26</t>
  </si>
  <si>
    <t>Sagar Anil Londhe</t>
  </si>
  <si>
    <t>2025:06:30</t>
  </si>
  <si>
    <t>Olakiya Rohitkumar Mansukhbhai Agriown</t>
  </si>
  <si>
    <t>2025:07:04</t>
  </si>
  <si>
    <t>Mitalkumar Bhupendrakumar Bharatia Agriown</t>
  </si>
  <si>
    <t>Navnath Haribhau Warkar</t>
  </si>
  <si>
    <t>2025:07:09</t>
  </si>
  <si>
    <t>Mankind Pvt Ltd</t>
  </si>
  <si>
    <t>2025:07:25</t>
  </si>
  <si>
    <t>Program</t>
  </si>
  <si>
    <t>Vasanthbhai Pravinbhai Patel Agriown</t>
  </si>
  <si>
    <t>2025:08:06</t>
  </si>
  <si>
    <t>Solanki Hareshbhai Agriown</t>
  </si>
  <si>
    <t>2025:08:11</t>
  </si>
  <si>
    <t>Ankur</t>
  </si>
  <si>
    <t>2025:08:19</t>
  </si>
  <si>
    <t>Agriown Pvt Ltd</t>
  </si>
  <si>
    <t>2025:08:21</t>
  </si>
  <si>
    <t>I5 Air Aviation</t>
  </si>
  <si>
    <t>2025:08:28</t>
  </si>
  <si>
    <t>Eco Agrow Service Pune</t>
  </si>
  <si>
    <t>2025:09:05</t>
  </si>
  <si>
    <t>Vansh Sharma</t>
  </si>
  <si>
    <t>2025:09:16</t>
  </si>
  <si>
    <t>Rahul Kumar</t>
  </si>
  <si>
    <t>Greaves Cotton Ltd</t>
  </si>
  <si>
    <t>Kumari Laxmi Kushwaha</t>
  </si>
  <si>
    <t>Sonam Singh</t>
  </si>
  <si>
    <t>2025:09:17</t>
  </si>
  <si>
    <t>Rampur Maniharan Up</t>
  </si>
  <si>
    <t>2025:09:19</t>
  </si>
  <si>
    <t>BTOC</t>
  </si>
  <si>
    <t>2025:10:04</t>
  </si>
  <si>
    <t>BIOSTADT Pvt Ltd</t>
  </si>
  <si>
    <t>2025:10:07</t>
  </si>
  <si>
    <t>Tirthavana Haribhau Vadakar</t>
  </si>
  <si>
    <t>2025:10:28</t>
  </si>
  <si>
    <t>Virendra Kumar</t>
  </si>
  <si>
    <t>Mahamana Malviy Kissan Utpadak Sangathan Producer</t>
  </si>
  <si>
    <t>Alish Patel</t>
  </si>
  <si>
    <t>2025:12:19</t>
  </si>
  <si>
    <t>Garima</t>
  </si>
  <si>
    <t>2025:12:29</t>
  </si>
  <si>
    <t>Dumpala Dharma Rao</t>
  </si>
  <si>
    <t>2026:01:02</t>
  </si>
  <si>
    <t>Terrafly drone services LLP</t>
  </si>
  <si>
    <t>2026:02:18</t>
  </si>
  <si>
    <t>Ayush Singh</t>
  </si>
  <si>
    <t>Rutrust AgriGate India Private Limited</t>
  </si>
  <si>
    <t>2026:03:04</t>
  </si>
  <si>
    <t>client_name</t>
  </si>
  <si>
    <t>total_ticket_count</t>
  </si>
  <si>
    <t>crashed_ticket_count</t>
  </si>
  <si>
    <t>first_ticket_date</t>
  </si>
  <si>
    <t>last_ticket_date</t>
  </si>
  <si>
    <t>1784</t>
  </si>
  <si>
    <t>2023:12:16</t>
  </si>
  <si>
    <t>2026:05:05</t>
  </si>
  <si>
    <t>77</t>
  </si>
  <si>
    <t>2024:03:15</t>
  </si>
  <si>
    <t>2026:05:06</t>
  </si>
  <si>
    <t>126</t>
  </si>
  <si>
    <t>2024:08:09</t>
  </si>
  <si>
    <t>2026:04:25</t>
  </si>
  <si>
    <t>109</t>
  </si>
  <si>
    <t>2024:08:28</t>
  </si>
  <si>
    <t>2026:04:27</t>
  </si>
  <si>
    <t>4</t>
  </si>
  <si>
    <t>2023:10:11</t>
  </si>
  <si>
    <t>2024:12:13</t>
  </si>
  <si>
    <t>21</t>
  </si>
  <si>
    <t>2024:07:08</t>
  </si>
  <si>
    <t>10</t>
  </si>
  <si>
    <t>2023:07:04</t>
  </si>
  <si>
    <t>2026:04:24</t>
  </si>
  <si>
    <t>2024:01:20</t>
  </si>
  <si>
    <t>2026:01:11</t>
  </si>
  <si>
    <t>1</t>
  </si>
  <si>
    <t>2023:11:08</t>
  </si>
  <si>
    <t>2024:05:09</t>
  </si>
  <si>
    <t>5</t>
  </si>
  <si>
    <t>2024:02:10</t>
  </si>
  <si>
    <t>2026:04:28</t>
  </si>
  <si>
    <t>2025:01:30</t>
  </si>
  <si>
    <t>2026:01:21</t>
  </si>
  <si>
    <t>7</t>
  </si>
  <si>
    <t>2024:02:29</t>
  </si>
  <si>
    <t>2025:07:16</t>
  </si>
  <si>
    <t>Syngenta</t>
  </si>
  <si>
    <t>0</t>
  </si>
  <si>
    <t>2023:10:05</t>
  </si>
  <si>
    <t>2024:01:30</t>
  </si>
  <si>
    <t>Navnath haribhau warkar</t>
  </si>
  <si>
    <t>3</t>
  </si>
  <si>
    <t>2025:07:29</t>
  </si>
  <si>
    <t>9</t>
  </si>
  <si>
    <t>2024:12:19</t>
  </si>
  <si>
    <t>2025:05:05</t>
  </si>
  <si>
    <t>2024:07:16</t>
  </si>
  <si>
    <t>2026:02:09</t>
  </si>
  <si>
    <t>2024:07:28</t>
  </si>
  <si>
    <t>2025:11:12</t>
  </si>
  <si>
    <t>Krishi Farm solutions</t>
  </si>
  <si>
    <t>2024:08:10</t>
  </si>
  <si>
    <t>2024:12:16</t>
  </si>
  <si>
    <t>ANNADHATA AGROSPRAY</t>
  </si>
  <si>
    <t>2024:11:29</t>
  </si>
  <si>
    <t>2025:11:25</t>
  </si>
  <si>
    <t>2024:05:15</t>
  </si>
  <si>
    <t>2024:11:22</t>
  </si>
  <si>
    <t>2024:04:12</t>
  </si>
  <si>
    <t>2024:07:02</t>
  </si>
  <si>
    <t>2</t>
  </si>
  <si>
    <t>2026:04:09</t>
  </si>
  <si>
    <t>2026:05:03</t>
  </si>
  <si>
    <t>2024:08:21</t>
  </si>
  <si>
    <t>2024:10:01</t>
  </si>
  <si>
    <t>2025:10:03</t>
  </si>
  <si>
    <t>2026:04:10</t>
  </si>
  <si>
    <t>2025:04:05</t>
  </si>
  <si>
    <t>2025:06:19</t>
  </si>
  <si>
    <t>2024:04:14</t>
  </si>
  <si>
    <t>2025:02:17</t>
  </si>
  <si>
    <t>2026:01:07</t>
  </si>
  <si>
    <t>2026:04:20</t>
  </si>
  <si>
    <t>2024:10:23</t>
  </si>
  <si>
    <t>2025:02:01</t>
  </si>
  <si>
    <t>PRAJAPATI TUSHARKUMAR MUKESHBHAI Agriown</t>
  </si>
  <si>
    <t>2025:08:03</t>
  </si>
  <si>
    <t>GT</t>
  </si>
  <si>
    <t>2023:10:18</t>
  </si>
  <si>
    <t>2023:12:23</t>
  </si>
  <si>
    <t>HANUMAN AGROS</t>
  </si>
  <si>
    <t>2024:09:11</t>
  </si>
  <si>
    <t>2025:09:30</t>
  </si>
  <si>
    <t>2025:12:22</t>
  </si>
  <si>
    <t>2026:04:02</t>
  </si>
  <si>
    <t>2025:11:02</t>
  </si>
  <si>
    <t>2026:02:15</t>
  </si>
  <si>
    <t>Kumari laxmi kushwaha CMYUVA</t>
  </si>
  <si>
    <t>2025:10:10</t>
  </si>
  <si>
    <t>2025:12:05</t>
  </si>
  <si>
    <t>Agriown Farmtech Pvt Ltd</t>
  </si>
  <si>
    <t>2025:01:08</t>
  </si>
  <si>
    <t>2025:06:24</t>
  </si>
  <si>
    <t>2026:04:04</t>
  </si>
  <si>
    <t>2025:07:14</t>
  </si>
  <si>
    <t>2026:01:10</t>
  </si>
  <si>
    <t>2024:06:11</t>
  </si>
  <si>
    <t>2024:06:15</t>
  </si>
  <si>
    <t>2025:12:04</t>
  </si>
  <si>
    <t>2026:01:28</t>
  </si>
  <si>
    <t>2025:08:27</t>
  </si>
  <si>
    <t>2025:11:30</t>
  </si>
  <si>
    <t>olakiya rohitkumar mansukhbhai Agriown</t>
  </si>
  <si>
    <t>2025:07:24</t>
  </si>
  <si>
    <t>2024:09:10</t>
  </si>
  <si>
    <t>2024:12:15</t>
  </si>
  <si>
    <t>BHARAT KRISHI KENDRA</t>
  </si>
  <si>
    <t>2024:09:12</t>
  </si>
  <si>
    <t>2024:09:13</t>
  </si>
  <si>
    <t>Argonomics</t>
  </si>
  <si>
    <t>2024:01:19</t>
  </si>
  <si>
    <t>2024:02:07</t>
  </si>
  <si>
    <t>2024:05:06</t>
  </si>
  <si>
    <t>PRABHAKAR AGENCIES</t>
  </si>
  <si>
    <t>KRISHI BEEJ BHANDAR</t>
  </si>
  <si>
    <t>2024:09:29</t>
  </si>
  <si>
    <t>Vansh Sharma Upicorn</t>
  </si>
  <si>
    <t>2025:10:25</t>
  </si>
  <si>
    <t>AFF ( Vinay )</t>
  </si>
  <si>
    <t>2025:04:15</t>
  </si>
  <si>
    <t>Ankur CMYUVA</t>
  </si>
  <si>
    <t>2025:09:28</t>
  </si>
  <si>
    <t>Ankur kumar</t>
  </si>
  <si>
    <t>2025:08:25</t>
  </si>
  <si>
    <t>2025:08:22</t>
  </si>
  <si>
    <t>drone 44444</t>
  </si>
  <si>
    <t>2023:12:18</t>
  </si>
  <si>
    <t>Indian institute of water management</t>
  </si>
  <si>
    <t>2024:09:05</t>
  </si>
  <si>
    <t>SYNGENTA INDIA LTD</t>
  </si>
  <si>
    <t>2024:04:18</t>
  </si>
  <si>
    <t>drone_code</t>
  </si>
  <si>
    <t>drone_type_name</t>
  </si>
  <si>
    <t>customer_name</t>
  </si>
  <si>
    <t>admin_name</t>
  </si>
  <si>
    <t>admin_number</t>
  </si>
  <si>
    <t>total_flight_time</t>
  </si>
  <si>
    <t>total_flight_time_minutes</t>
  </si>
  <si>
    <t>total_area_covered_acres</t>
  </si>
  <si>
    <t>customer_id_created_date</t>
  </si>
  <si>
    <t>Time to first ticket</t>
  </si>
  <si>
    <t>KAS00068</t>
  </si>
  <si>
    <t>Krishak</t>
  </si>
  <si>
    <t>Chalapathi</t>
  </si>
  <si>
    <t>KEN00005</t>
  </si>
  <si>
    <t>Uttam Madhukar</t>
  </si>
  <si>
    <t>KAS00046</t>
  </si>
  <si>
    <t>Vinod Admin TAFE</t>
  </si>
  <si>
    <t>NULL</t>
  </si>
  <si>
    <t>1i_PT03</t>
  </si>
  <si>
    <t>Krishak1i</t>
  </si>
  <si>
    <t>IFFCO Admin</t>
  </si>
  <si>
    <t>KAS00015</t>
  </si>
  <si>
    <t>Panghal Deepak</t>
  </si>
  <si>
    <t>KAS00009</t>
  </si>
  <si>
    <t>Vidya H S</t>
  </si>
  <si>
    <t>KAS00032</t>
  </si>
  <si>
    <t>KAS00021</t>
  </si>
  <si>
    <t>KAS00065</t>
  </si>
  <si>
    <t>KAS00019</t>
  </si>
  <si>
    <t>KAS00051</t>
  </si>
  <si>
    <t>KAS00047</t>
  </si>
  <si>
    <t>KAS00044</t>
  </si>
  <si>
    <t>Rohith Admin Bayer</t>
  </si>
  <si>
    <t>KAS00022</t>
  </si>
  <si>
    <t>KAS00013</t>
  </si>
  <si>
    <t>KAS00061</t>
  </si>
  <si>
    <t>KAS00027</t>
  </si>
  <si>
    <t>Bhanu Pratap Joshi</t>
  </si>
  <si>
    <t>KAS00042</t>
  </si>
  <si>
    <t>KAS00081</t>
  </si>
  <si>
    <t>KAS00082</t>
  </si>
  <si>
    <t>KAS00083</t>
  </si>
  <si>
    <t>KAS00005</t>
  </si>
  <si>
    <t>KAS00038</t>
  </si>
  <si>
    <t>KAS00012</t>
  </si>
  <si>
    <t>KAS00057</t>
  </si>
  <si>
    <t>Triveni Admin Pii</t>
  </si>
  <si>
    <t>KAS00031</t>
  </si>
  <si>
    <t>KAS00025</t>
  </si>
  <si>
    <t>KAS00064</t>
  </si>
  <si>
    <t>K1i00003</t>
  </si>
  <si>
    <t>Vinay Kumar Kavali</t>
  </si>
  <si>
    <t>K1i00004</t>
  </si>
  <si>
    <t>K1i00005</t>
  </si>
  <si>
    <t>K1i00006</t>
  </si>
  <si>
    <t>K1i00007</t>
  </si>
  <si>
    <t>K1i00008</t>
  </si>
  <si>
    <t>K1i00022</t>
  </si>
  <si>
    <t>K1i00021</t>
  </si>
  <si>
    <t>K1i00019</t>
  </si>
  <si>
    <t>K1i00018</t>
  </si>
  <si>
    <t>K1i00016</t>
  </si>
  <si>
    <t>K1i00015</t>
  </si>
  <si>
    <t>K1i00014</t>
  </si>
  <si>
    <t>K1i00013</t>
  </si>
  <si>
    <t>K1i00012</t>
  </si>
  <si>
    <t>K1i00011</t>
  </si>
  <si>
    <t>K1i00010</t>
  </si>
  <si>
    <t>K1i00020</t>
  </si>
  <si>
    <t>K1i00009</t>
  </si>
  <si>
    <t>K1i00025</t>
  </si>
  <si>
    <t>K1i00034</t>
  </si>
  <si>
    <t>K1i00033</t>
  </si>
  <si>
    <t>Anil</t>
  </si>
  <si>
    <t>K1i00032</t>
  </si>
  <si>
    <t>K1i00031</t>
  </si>
  <si>
    <t>Abhinav</t>
  </si>
  <si>
    <t>K1i00030</t>
  </si>
  <si>
    <t>K1i00029</t>
  </si>
  <si>
    <t>K1i00028</t>
  </si>
  <si>
    <t>K1i00027</t>
  </si>
  <si>
    <t>K1i00024</t>
  </si>
  <si>
    <t>K1i00055</t>
  </si>
  <si>
    <t>K1i00054</t>
  </si>
  <si>
    <t>K1i00053</t>
  </si>
  <si>
    <t>K1i00052</t>
  </si>
  <si>
    <t>K1i00051</t>
  </si>
  <si>
    <t>K1i00050</t>
  </si>
  <si>
    <t>K1i00045</t>
  </si>
  <si>
    <t>Nikesh Bakliwal</t>
  </si>
  <si>
    <t>K1i00044</t>
  </si>
  <si>
    <t>K1i00043</t>
  </si>
  <si>
    <t>K1i00049</t>
  </si>
  <si>
    <t>K1i00042</t>
  </si>
  <si>
    <t>K1i00041</t>
  </si>
  <si>
    <t>K1i00040</t>
  </si>
  <si>
    <t>K1i00039</t>
  </si>
  <si>
    <t>K1i00037</t>
  </si>
  <si>
    <t>Mr. Pradeep Kumar</t>
  </si>
  <si>
    <t>K1i00036</t>
  </si>
  <si>
    <t>K1i00035</t>
  </si>
  <si>
    <t>K1i00046</t>
  </si>
  <si>
    <t>K1i00023</t>
  </si>
  <si>
    <t>K1i00038</t>
  </si>
  <si>
    <t>K1i00047</t>
  </si>
  <si>
    <t>K1i00048</t>
  </si>
  <si>
    <t>K1i00056</t>
  </si>
  <si>
    <t>K1i00057</t>
  </si>
  <si>
    <t>K1i00058</t>
  </si>
  <si>
    <t>Mr. Pankaj</t>
  </si>
  <si>
    <t>K1i00059</t>
  </si>
  <si>
    <t>K1i00060</t>
  </si>
  <si>
    <t>K1i00069</t>
  </si>
  <si>
    <t>K1i00068</t>
  </si>
  <si>
    <t>K1i00067</t>
  </si>
  <si>
    <t>K1i00066</t>
  </si>
  <si>
    <t>K1i00065</t>
  </si>
  <si>
    <t>K1i00064</t>
  </si>
  <si>
    <t>K1i00063</t>
  </si>
  <si>
    <t>K1i00062</t>
  </si>
  <si>
    <t>K1i00070</t>
  </si>
  <si>
    <t>K1i00061</t>
  </si>
  <si>
    <t>K1i00079</t>
  </si>
  <si>
    <t>K1i00077</t>
  </si>
  <si>
    <t>K1i00076</t>
  </si>
  <si>
    <t>K1i00075</t>
  </si>
  <si>
    <t>K1i00074</t>
  </si>
  <si>
    <t>K1i00073</t>
  </si>
  <si>
    <t>K1i00072</t>
  </si>
  <si>
    <t>K1i00078</t>
  </si>
  <si>
    <t>K1i00071</t>
  </si>
  <si>
    <t>K1i00080</t>
  </si>
  <si>
    <t>K1i00090</t>
  </si>
  <si>
    <t>K1i00089</t>
  </si>
  <si>
    <t>K1i00088</t>
  </si>
  <si>
    <t>K1i00087</t>
  </si>
  <si>
    <t>K1i00086</t>
  </si>
  <si>
    <t>K1i00084</t>
  </si>
  <si>
    <t>K1i00083</t>
  </si>
  <si>
    <t>K1i00082</t>
  </si>
  <si>
    <t>K1i00081</t>
  </si>
  <si>
    <t>K1i00085</t>
  </si>
  <si>
    <t>K1i00099</t>
  </si>
  <si>
    <t>K1i00098</t>
  </si>
  <si>
    <t>Shonu George</t>
  </si>
  <si>
    <t>K1i00096</t>
  </si>
  <si>
    <t>K1i00095</t>
  </si>
  <si>
    <t>K1i00094</t>
  </si>
  <si>
    <t>K1i00093</t>
  </si>
  <si>
    <t>K1i00097</t>
  </si>
  <si>
    <t>K1i00091</t>
  </si>
  <si>
    <t>K1i00111</t>
  </si>
  <si>
    <t>K1i00110</t>
  </si>
  <si>
    <t>K1i00108</t>
  </si>
  <si>
    <t>K1i00107</t>
  </si>
  <si>
    <t>K1i00106</t>
  </si>
  <si>
    <t>K1i00105</t>
  </si>
  <si>
    <t>K1i00104</t>
  </si>
  <si>
    <t>K1i00103</t>
  </si>
  <si>
    <t>K1i00102</t>
  </si>
  <si>
    <t>K1i00101</t>
  </si>
  <si>
    <t>K1i00100</t>
  </si>
  <si>
    <t>K1i00109</t>
  </si>
  <si>
    <t>K1i00113</t>
  </si>
  <si>
    <t>K1i00112</t>
  </si>
  <si>
    <t>K1i00115</t>
  </si>
  <si>
    <t>K1i00114</t>
  </si>
  <si>
    <t>K1i00117</t>
  </si>
  <si>
    <t>K1i00118</t>
  </si>
  <si>
    <t>K1i00116</t>
  </si>
  <si>
    <t>K1i00131</t>
  </si>
  <si>
    <t>K1i00130</t>
  </si>
  <si>
    <t>K1i00126</t>
  </si>
  <si>
    <t>K1i00125</t>
  </si>
  <si>
    <t>K1i00124</t>
  </si>
  <si>
    <t>K1i00123</t>
  </si>
  <si>
    <t>K1i00119</t>
  </si>
  <si>
    <t>K1i00129</t>
  </si>
  <si>
    <t>K1i00128</t>
  </si>
  <si>
    <t>K1i00120</t>
  </si>
  <si>
    <t>K1i00127</t>
  </si>
  <si>
    <t>K1i00121</t>
  </si>
  <si>
    <t>K1i00132</t>
  </si>
  <si>
    <t>K1i00133</t>
  </si>
  <si>
    <t>K1i00122</t>
  </si>
  <si>
    <t>K1i00136</t>
  </si>
  <si>
    <t>K1i00135</t>
  </si>
  <si>
    <t>K1i00134</t>
  </si>
  <si>
    <t>K1i00140</t>
  </si>
  <si>
    <t>K1i00139</t>
  </si>
  <si>
    <t>K1i00138</t>
  </si>
  <si>
    <t>K1i00155</t>
  </si>
  <si>
    <t>K1i00154</t>
  </si>
  <si>
    <t>K1i00153</t>
  </si>
  <si>
    <t>K1i00152</t>
  </si>
  <si>
    <t>K1i00150</t>
  </si>
  <si>
    <t>K1i00149</t>
  </si>
  <si>
    <t>K1i00148</t>
  </si>
  <si>
    <t>K1i00146</t>
  </si>
  <si>
    <t>K1i00145</t>
  </si>
  <si>
    <t>K1i00143</t>
  </si>
  <si>
    <t>K1i00142</t>
  </si>
  <si>
    <t>K1i00141</t>
  </si>
  <si>
    <t>K1i00147</t>
  </si>
  <si>
    <t>K1i00144</t>
  </si>
  <si>
    <t>K1i00151</t>
  </si>
  <si>
    <t>K1i00160</t>
  </si>
  <si>
    <t>K1i00159</t>
  </si>
  <si>
    <t>K1i00158</t>
  </si>
  <si>
    <t>Vimal Sharma</t>
  </si>
  <si>
    <t>K1i00157</t>
  </si>
  <si>
    <t>K1i00156</t>
  </si>
  <si>
    <t>K1i00184</t>
  </si>
  <si>
    <t>K1i00182</t>
  </si>
  <si>
    <t>K1i00181</t>
  </si>
  <si>
    <t>K1i00183</t>
  </si>
  <si>
    <t>K1i00179</t>
  </si>
  <si>
    <t>K1i00175</t>
  </si>
  <si>
    <t>K1i00174</t>
  </si>
  <si>
    <t>K1i00172</t>
  </si>
  <si>
    <t>K1i00171</t>
  </si>
  <si>
    <t>K1i00170</t>
  </si>
  <si>
    <t>K1i00167</t>
  </si>
  <si>
    <t>K1i00166</t>
  </si>
  <si>
    <t>K1i00165</t>
  </si>
  <si>
    <t>K1i00164</t>
  </si>
  <si>
    <t>K1i00163</t>
  </si>
  <si>
    <t>K1i00162</t>
  </si>
  <si>
    <t>K1i00169</t>
  </si>
  <si>
    <t>K1i00161</t>
  </si>
  <si>
    <t>K1i00188</t>
  </si>
  <si>
    <t>K1i00187</t>
  </si>
  <si>
    <t>K1i00186</t>
  </si>
  <si>
    <t>K1i00189</t>
  </si>
  <si>
    <t>K1i00185</t>
  </si>
  <si>
    <t>K1i00180</t>
  </si>
  <si>
    <t>K1i00178</t>
  </si>
  <si>
    <t>K1i00177</t>
  </si>
  <si>
    <t>Triveni Admin BASF</t>
  </si>
  <si>
    <t>K1i00168</t>
  </si>
  <si>
    <t>K1i00192</t>
  </si>
  <si>
    <t>K1i00191</t>
  </si>
  <si>
    <t>K1i00190</t>
  </si>
  <si>
    <t>K1i00173</t>
  </si>
  <si>
    <t>K1i00137</t>
  </si>
  <si>
    <t>K1i00195</t>
  </si>
  <si>
    <t>K1i00193</t>
  </si>
  <si>
    <t>K1i00214</t>
  </si>
  <si>
    <t>K1i00212</t>
  </si>
  <si>
    <t>K1i00210</t>
  </si>
  <si>
    <t>K1i00209</t>
  </si>
  <si>
    <t>K1i00208</t>
  </si>
  <si>
    <t>K1i00207</t>
  </si>
  <si>
    <t>K1i00206</t>
  </si>
  <si>
    <t>K1i00205</t>
  </si>
  <si>
    <t>K1i00204</t>
  </si>
  <si>
    <t>K1i00203</t>
  </si>
  <si>
    <t>K1i00211</t>
  </si>
  <si>
    <t>K1i00201</t>
  </si>
  <si>
    <t>Mihir Agriown</t>
  </si>
  <si>
    <t>K1i00200</t>
  </si>
  <si>
    <t>K1i00199</t>
  </si>
  <si>
    <t>K1i00198</t>
  </si>
  <si>
    <t>K1i00196</t>
  </si>
  <si>
    <t>K1i00197</t>
  </si>
  <si>
    <t>K1i00194</t>
  </si>
  <si>
    <t>K1i00217</t>
  </si>
  <si>
    <t>K1i00216</t>
  </si>
  <si>
    <t>K1i00215</t>
  </si>
  <si>
    <t>K1i00230</t>
  </si>
  <si>
    <t>K1i00229</t>
  </si>
  <si>
    <t>K1i00228</t>
  </si>
  <si>
    <t>K1i00227</t>
  </si>
  <si>
    <t>K1i00226</t>
  </si>
  <si>
    <t>K1i00225</t>
  </si>
  <si>
    <t>K1i00224</t>
  </si>
  <si>
    <t>K1i00223</t>
  </si>
  <si>
    <t>K1i00222</t>
  </si>
  <si>
    <t>K1i00221</t>
  </si>
  <si>
    <t>K1i00220</t>
  </si>
  <si>
    <t>K1i00219</t>
  </si>
  <si>
    <t>K1i00218</t>
  </si>
  <si>
    <t>K1i00202</t>
  </si>
  <si>
    <t>K1i00231</t>
  </si>
  <si>
    <t>K1i00236</t>
  </si>
  <si>
    <t>K1i00235</t>
  </si>
  <si>
    <t>K1i00234</t>
  </si>
  <si>
    <t>K1i00233</t>
  </si>
  <si>
    <t>K1i00232</t>
  </si>
  <si>
    <t>K1i00239</t>
  </si>
  <si>
    <t>K1i00238</t>
  </si>
  <si>
    <t>K1i00237</t>
  </si>
  <si>
    <t>K1i00242</t>
  </si>
  <si>
    <t>K1i00241</t>
  </si>
  <si>
    <t>K1i00240</t>
  </si>
  <si>
    <t>K1i00246</t>
  </si>
  <si>
    <t>K1i00245</t>
  </si>
  <si>
    <t>K1i00244</t>
  </si>
  <si>
    <t>K1i00243</t>
  </si>
  <si>
    <t>K1i00250</t>
  </si>
  <si>
    <t>K1i00249</t>
  </si>
  <si>
    <t>K1i00248</t>
  </si>
  <si>
    <t>K1i00247</t>
  </si>
  <si>
    <t>K1i00260</t>
  </si>
  <si>
    <t>K1i00259</t>
  </si>
  <si>
    <t>K1i00258</t>
  </si>
  <si>
    <t>K1i00257</t>
  </si>
  <si>
    <t>K1i00256</t>
  </si>
  <si>
    <t>K1i00255</t>
  </si>
  <si>
    <t>K1i00254</t>
  </si>
  <si>
    <t>K1i00253</t>
  </si>
  <si>
    <t>K1i00252</t>
  </si>
  <si>
    <t>K1i00251</t>
  </si>
  <si>
    <t>K1i00269</t>
  </si>
  <si>
    <t>K1i00268</t>
  </si>
  <si>
    <t>K1i00267</t>
  </si>
  <si>
    <t>K1i00266</t>
  </si>
  <si>
    <t>K1i00265</t>
  </si>
  <si>
    <t>K1i00264</t>
  </si>
  <si>
    <t>K1i00262</t>
  </si>
  <si>
    <t>K1i00263</t>
  </si>
  <si>
    <t>K1i00261</t>
  </si>
  <si>
    <t>K1i00271</t>
  </si>
  <si>
    <t>K1i00270</t>
  </si>
  <si>
    <t>K1i00272</t>
  </si>
  <si>
    <t>K1i00273</t>
  </si>
  <si>
    <t>K1i00274</t>
  </si>
  <si>
    <t>K1i00275</t>
  </si>
  <si>
    <t>K1i00280</t>
  </si>
  <si>
    <t>K1i00276</t>
  </si>
  <si>
    <t>K1i00277</t>
  </si>
  <si>
    <t>K1i00278</t>
  </si>
  <si>
    <t>K1i00279</t>
  </si>
  <si>
    <t>K1i00288</t>
  </si>
  <si>
    <t>K1i00287</t>
  </si>
  <si>
    <t>K1i00286</t>
  </si>
  <si>
    <t>K1i00284</t>
  </si>
  <si>
    <t>K1i00281</t>
  </si>
  <si>
    <t>K1i00282</t>
  </si>
  <si>
    <t>K1i00283</t>
  </si>
  <si>
    <t>K1i00285</t>
  </si>
  <si>
    <t>K1i00289</t>
  </si>
  <si>
    <t>K1i00290</t>
  </si>
  <si>
    <t>K1i00293</t>
  </si>
  <si>
    <t>Rozar Aralikatte</t>
  </si>
  <si>
    <t>K1i00297</t>
  </si>
  <si>
    <t>K1i00294</t>
  </si>
  <si>
    <t>K1i00298</t>
  </si>
  <si>
    <t>K1i00304</t>
  </si>
  <si>
    <t>K1i00302</t>
  </si>
  <si>
    <t>K1i00300</t>
  </si>
  <si>
    <t>K1i00301</t>
  </si>
  <si>
    <t>K1i00303</t>
  </si>
  <si>
    <t>K1i00305</t>
  </si>
  <si>
    <t>K1i00307</t>
  </si>
  <si>
    <t>K1i00308</t>
  </si>
  <si>
    <t>K1i00309</t>
  </si>
  <si>
    <t>K1i00306</t>
  </si>
  <si>
    <t>K1i00310</t>
  </si>
  <si>
    <t>K1i00311</t>
  </si>
  <si>
    <t>K1i00312</t>
  </si>
  <si>
    <t>K1i00313</t>
  </si>
  <si>
    <t>K1i00314</t>
  </si>
  <si>
    <t>K1i00315</t>
  </si>
  <si>
    <t>K1i00316</t>
  </si>
  <si>
    <t>K1i00318</t>
  </si>
  <si>
    <t>Syed</t>
  </si>
  <si>
    <t>K1i00319</t>
  </si>
  <si>
    <t>K1i00320</t>
  </si>
  <si>
    <t>K1i00322</t>
  </si>
  <si>
    <t>K1i00324</t>
  </si>
  <si>
    <t>K1i00325</t>
  </si>
  <si>
    <t>K1i00326</t>
  </si>
  <si>
    <t>K1i00328</t>
  </si>
  <si>
    <t>K1i00330</t>
  </si>
  <si>
    <t>K1i00333</t>
  </si>
  <si>
    <t>K1i00334</t>
  </si>
  <si>
    <t>K1i00329</t>
  </si>
  <si>
    <t>K2i00068</t>
  </si>
  <si>
    <t>Krishak2i</t>
  </si>
  <si>
    <t>Kowshik</t>
  </si>
  <si>
    <t>K2i00069</t>
  </si>
  <si>
    <t>K2i00070</t>
  </si>
  <si>
    <t>Vansha Sharma</t>
  </si>
  <si>
    <t>K2i00071</t>
  </si>
  <si>
    <t>K2i00072</t>
  </si>
  <si>
    <t>K2i00073</t>
  </si>
  <si>
    <t>K2i00074</t>
  </si>
  <si>
    <t>K2i00075</t>
  </si>
  <si>
    <t>K2i00077</t>
  </si>
  <si>
    <t>K2i00079</t>
  </si>
  <si>
    <t>K2i00080</t>
  </si>
  <si>
    <t>Pallavi</t>
  </si>
  <si>
    <t>K2i00081</t>
  </si>
  <si>
    <t>K2i00088</t>
  </si>
  <si>
    <t>K2i00091</t>
  </si>
  <si>
    <t>K2i00084</t>
  </si>
  <si>
    <t>K2i00085</t>
  </si>
  <si>
    <t>K2i00082</t>
  </si>
  <si>
    <t>K2i00083</t>
  </si>
  <si>
    <t>K2i00086</t>
  </si>
  <si>
    <t>K2i00089</t>
  </si>
  <si>
    <t>K2i00004</t>
  </si>
  <si>
    <t>LSP00001</t>
  </si>
  <si>
    <t>LSP00002</t>
  </si>
  <si>
    <t>K2i00008</t>
  </si>
  <si>
    <t>K2i00012</t>
  </si>
  <si>
    <t>K2i00011</t>
  </si>
  <si>
    <t>K2i00013</t>
  </si>
  <si>
    <t>K2i00014</t>
  </si>
  <si>
    <t>K2i00010</t>
  </si>
  <si>
    <t>K2i00017</t>
  </si>
  <si>
    <t>K2i00018</t>
  </si>
  <si>
    <t>K2i00016</t>
  </si>
  <si>
    <t>K2i00019</t>
  </si>
  <si>
    <t>Pravin venkatrao Achintalwar</t>
  </si>
  <si>
    <t>K2i00024</t>
  </si>
  <si>
    <t>K2i00022</t>
  </si>
  <si>
    <t>K2i00023</t>
  </si>
  <si>
    <t>K2i00021</t>
  </si>
  <si>
    <t>K2i00027</t>
  </si>
  <si>
    <t>K2i00026</t>
  </si>
  <si>
    <t>K2i00025</t>
  </si>
  <si>
    <t>K2i00028</t>
  </si>
  <si>
    <t>K2i00031</t>
  </si>
  <si>
    <t>K2i00036</t>
  </si>
  <si>
    <t>K2i00033</t>
  </si>
  <si>
    <t>K2i00032</t>
  </si>
  <si>
    <t>K2i00034</t>
  </si>
  <si>
    <t>K2i00035</t>
  </si>
  <si>
    <t>K2i00037</t>
  </si>
  <si>
    <t>K2i00038</t>
  </si>
  <si>
    <t>K2i00040</t>
  </si>
  <si>
    <t>K2i00041</t>
  </si>
  <si>
    <t>K2i00042</t>
  </si>
  <si>
    <t>K2i00043</t>
  </si>
  <si>
    <t>J.SUNNY</t>
  </si>
  <si>
    <t>K2i00057</t>
  </si>
  <si>
    <t>K2i00053</t>
  </si>
  <si>
    <t>K2i00005</t>
  </si>
  <si>
    <t>LSP00003</t>
  </si>
  <si>
    <t>K2i00015</t>
  </si>
  <si>
    <t>K2i00020</t>
  </si>
  <si>
    <t>K2i00039</t>
  </si>
  <si>
    <t>K2i00094</t>
  </si>
  <si>
    <t>K2i00093</t>
  </si>
  <si>
    <t>K2i00096</t>
  </si>
  <si>
    <t>K2i00097</t>
  </si>
  <si>
    <t>K2i00095</t>
  </si>
  <si>
    <t>K2i00099</t>
  </si>
  <si>
    <t>K2i00102</t>
  </si>
  <si>
    <t>K2i00101</t>
  </si>
  <si>
    <t>K2i00105</t>
  </si>
  <si>
    <t>K2i00108</t>
  </si>
  <si>
    <t>Soham Shripad Jangale</t>
  </si>
  <si>
    <t>K2i00110</t>
  </si>
  <si>
    <t>Gaurab</t>
  </si>
  <si>
    <t>K2i00114</t>
  </si>
  <si>
    <t>K2i00115</t>
  </si>
  <si>
    <t>K2i00119</t>
  </si>
  <si>
    <t>Kumari laxmi kushwaha</t>
  </si>
  <si>
    <t>K2i00120</t>
  </si>
  <si>
    <t>K2i00122</t>
  </si>
  <si>
    <t>Rafeequ Ahmed khan</t>
  </si>
  <si>
    <t>K2i00117</t>
  </si>
  <si>
    <t>K2i00126</t>
  </si>
  <si>
    <t>K2i00123</t>
  </si>
  <si>
    <t>K2i00130</t>
  </si>
  <si>
    <t>K2i00124</t>
  </si>
  <si>
    <t>K2i00135</t>
  </si>
  <si>
    <t>K2i00141</t>
  </si>
  <si>
    <t>K2i00139</t>
  </si>
  <si>
    <t>Tirthavana haribhau vadakar</t>
  </si>
  <si>
    <t>K2i00138</t>
  </si>
  <si>
    <t>K2i00147</t>
  </si>
  <si>
    <t>K2i00152</t>
  </si>
  <si>
    <t>Dharmendra</t>
  </si>
  <si>
    <t>K2i00151</t>
  </si>
  <si>
    <t>K2i00153</t>
  </si>
  <si>
    <t>K2i00156</t>
  </si>
  <si>
    <t>K2i00158</t>
  </si>
  <si>
    <t>K2i00159</t>
  </si>
  <si>
    <t>K2i00162</t>
  </si>
  <si>
    <t>K2i00163</t>
  </si>
  <si>
    <t>K2i00166</t>
  </si>
  <si>
    <t>K2i00157</t>
  </si>
  <si>
    <t>K1iPT_04</t>
  </si>
  <si>
    <t>K2i00002</t>
  </si>
  <si>
    <t>HIL_2v1</t>
  </si>
  <si>
    <t>HIL_bth_drone</t>
  </si>
  <si>
    <t>K1i00017</t>
  </si>
  <si>
    <t>K1i00176</t>
  </si>
  <si>
    <t>Count of drones</t>
  </si>
  <si>
    <t>Total</t>
  </si>
  <si>
    <t>Crashed atleast once</t>
  </si>
  <si>
    <t>Time to first ticket &lt;30 days</t>
  </si>
  <si>
    <t>Drones</t>
  </si>
  <si>
    <t>Customers</t>
  </si>
  <si>
    <t>2024-04-11T10:34:06.000Z</t>
  </si>
  <si>
    <t>2025-04-07T04:51:20.000Z</t>
  </si>
  <si>
    <t>17</t>
  </si>
  <si>
    <t>2024-05-21T04:28:54.000Z</t>
  </si>
  <si>
    <t>2026-01-31T08:20:56.000Z</t>
  </si>
  <si>
    <t>16</t>
  </si>
  <si>
    <t>2024-01-10T07:27:59.000Z</t>
  </si>
  <si>
    <t>2026-04-12T06:50:56.000Z</t>
  </si>
  <si>
    <t>15</t>
  </si>
  <si>
    <t>2024-05-27T11:13:30.000Z</t>
  </si>
  <si>
    <t>2026-04-17T15:19:25.000Z</t>
  </si>
  <si>
    <t>11</t>
  </si>
  <si>
    <t>2024-09-01T13:34:08.000Z</t>
  </si>
  <si>
    <t>2026-02-07T04:39:58.000Z</t>
  </si>
  <si>
    <t>22</t>
  </si>
  <si>
    <t>2024-05-23T04:34:50.000Z</t>
  </si>
  <si>
    <t>2026-04-27T04:13:03.000Z</t>
  </si>
  <si>
    <t>28</t>
  </si>
  <si>
    <t>2024-06-23T06:36:02.000Z</t>
  </si>
  <si>
    <t>2026-01-20T07:41:46.000Z</t>
  </si>
  <si>
    <t>18</t>
  </si>
  <si>
    <t>2024-04-16T05:53:31.000Z</t>
  </si>
  <si>
    <t>2026-04-15T05:14:36.000Z</t>
  </si>
  <si>
    <t>14</t>
  </si>
  <si>
    <t>2024-04-24T06:22:37.000Z</t>
  </si>
  <si>
    <t>2026-01-14T09:40:29.000Z</t>
  </si>
  <si>
    <t>23</t>
  </si>
  <si>
    <t>2024-04-26T01:32:50.000Z</t>
  </si>
  <si>
    <t>2025-09-08T08:04:08.000Z</t>
  </si>
  <si>
    <t>2024-05-12T09:44:02.000Z</t>
  </si>
  <si>
    <t>2026-02-05T04:37:44.000Z</t>
  </si>
  <si>
    <t>2024-08-09T07:18:40.000Z</t>
  </si>
  <si>
    <t>2026-02-23T08:31:08.000Z</t>
  </si>
  <si>
    <t>2024-05-27T10:53:07.000Z</t>
  </si>
  <si>
    <t>2025-11-19T09:48:46.000Z</t>
  </si>
  <si>
    <t>2024-05-05T02:51:44.000Z</t>
  </si>
  <si>
    <t>2026-01-11T06:49:21.000Z</t>
  </si>
  <si>
    <t>2024-05-27T12:31:58.000Z</t>
  </si>
  <si>
    <t>2025-04-08T10:55:29.000Z</t>
  </si>
  <si>
    <t>2024-08-09T10:26:06.000Z</t>
  </si>
  <si>
    <t>2026-04-28T07:10:36.000Z</t>
  </si>
  <si>
    <t>2024-07-03T05:05:27.000Z</t>
  </si>
  <si>
    <t>2026-02-19T14:19:43.000Z</t>
  </si>
  <si>
    <t>13</t>
  </si>
  <si>
    <t>2024-04-22T08:46:12.000Z</t>
  </si>
  <si>
    <t>2026-05-05T06:24:43.000Z</t>
  </si>
  <si>
    <t>2024-06-23T11:39:02.000Z</t>
  </si>
  <si>
    <t>2026-02-13T09:54:43.000Z</t>
  </si>
  <si>
    <t>2024-09-06T07:38:12.000Z</t>
  </si>
  <si>
    <t>2026-01-26T11:27:14.000Z</t>
  </si>
  <si>
    <t>20</t>
  </si>
  <si>
    <t>2024-07-07T06:32:19.000Z</t>
  </si>
  <si>
    <t>2025-05-30T09:33:17.000Z</t>
  </si>
  <si>
    <t>12</t>
  </si>
  <si>
    <t>2024-05-13T14:29:12.000Z</t>
  </si>
  <si>
    <t>2026-03-13T07:41:09.000Z</t>
  </si>
  <si>
    <t>2024-06-12T08:54:47.000Z</t>
  </si>
  <si>
    <t>2025-12-22T11:30:20.000Z</t>
  </si>
  <si>
    <t>24</t>
  </si>
  <si>
    <t>2024-07-06T05:45:38.000Z</t>
  </si>
  <si>
    <t>2025-12-18T10:08:14.000Z</t>
  </si>
  <si>
    <t>2024-08-18T08:30:55.000Z</t>
  </si>
  <si>
    <t>2026-04-07T02:12:41.000Z</t>
  </si>
  <si>
    <t>2024-04-29T13:45:28.000Z</t>
  </si>
  <si>
    <t>2026-04-07T03:23:25.000Z</t>
  </si>
  <si>
    <t>2024-04-10T08:13:12.000Z</t>
  </si>
  <si>
    <t>2025-11-05T09:25:37.000Z</t>
  </si>
  <si>
    <t>19</t>
  </si>
  <si>
    <t>2024-05-20T04:51:42.000Z</t>
  </si>
  <si>
    <t>2025-12-15T09:37:33.000Z</t>
  </si>
  <si>
    <t>2024-06-29T03:58:26.000Z</t>
  </si>
  <si>
    <t>2026-02-23T11:23:01.000Z</t>
  </si>
  <si>
    <t>2024-09-10T08:27:02.000Z</t>
  </si>
  <si>
    <t>2026-02-24T05:30:06.000Z</t>
  </si>
  <si>
    <t>2024-09-16T14:51:10.000Z</t>
  </si>
  <si>
    <t>2026-04-17T04:58:02.000Z</t>
  </si>
  <si>
    <t>2024-04-26T06:01:52.000Z</t>
  </si>
  <si>
    <t>2025-02-11T06:38:16.000Z</t>
  </si>
  <si>
    <t>2024-05-16T04:46:39.000Z</t>
  </si>
  <si>
    <t>2025-12-27T10:46:13.000Z</t>
  </si>
  <si>
    <t>2024-05-21T04:26:49.000Z</t>
  </si>
  <si>
    <t>2025-06-11T13:16:44.000Z</t>
  </si>
  <si>
    <t>2024-05-23T12:21:45.000Z</t>
  </si>
  <si>
    <t>2026-05-01T03:45:37.000Z</t>
  </si>
  <si>
    <t>6</t>
  </si>
  <si>
    <t>2024-08-03T10:41:52.000Z</t>
  </si>
  <si>
    <t>2026-04-08T04:02:11.000Z</t>
  </si>
  <si>
    <t>2024-09-29T07:21:27.000Z</t>
  </si>
  <si>
    <t>2026-04-24T05:54:07.000Z</t>
  </si>
  <si>
    <t>2024-11-19T10:13:29.000Z</t>
  </si>
  <si>
    <t>2026-04-25T08:59:40.000Z</t>
  </si>
  <si>
    <t>2024-05-14T12:41:49.000Z</t>
  </si>
  <si>
    <t>2025-12-26T04:31:39.000Z</t>
  </si>
  <si>
    <t>2024-04-25T06:19:38.000Z</t>
  </si>
  <si>
    <t>2025-09-07T03:48:16.000Z</t>
  </si>
  <si>
    <t>8</t>
  </si>
  <si>
    <t>2024-05-15T10:42:51.000Z</t>
  </si>
  <si>
    <t>2026-01-21T09:22:55.000Z</t>
  </si>
  <si>
    <t>2024-05-21T07:39:30.000Z</t>
  </si>
  <si>
    <t>2026-01-19T13:38:53.000Z</t>
  </si>
  <si>
    <t>2024-07-21T11:03:10.000Z</t>
  </si>
  <si>
    <t>2026-01-30T09:38:50.000Z</t>
  </si>
  <si>
    <t>2024-06-23T02:59:57.000Z</t>
  </si>
  <si>
    <t>2025-10-07T08:34:53.000Z</t>
  </si>
  <si>
    <t>2024-07-02T04:11:44.000Z</t>
  </si>
  <si>
    <t>2025-12-22T09:24:47.000Z</t>
  </si>
  <si>
    <t>2025-04-18T05:57:00.000Z</t>
  </si>
  <si>
    <t>2026-05-07T05:55:37.000Z</t>
  </si>
  <si>
    <t>2024-04-23T06:04:05.000Z</t>
  </si>
  <si>
    <t>2025-12-25T05:02:51.000Z</t>
  </si>
  <si>
    <t>2024-05-03T04:15:58.000Z</t>
  </si>
  <si>
    <t>2025-11-12T09:23:38.000Z</t>
  </si>
  <si>
    <t>2024-05-29T13:54:05.000Z</t>
  </si>
  <si>
    <t>2025-09-21T14:34:20.000Z</t>
  </si>
  <si>
    <t>2024-06-25T04:49:26.000Z</t>
  </si>
  <si>
    <t>2026-04-13T05:01:51.000Z</t>
  </si>
  <si>
    <t>2024-07-23T08:01:21.000Z</t>
  </si>
  <si>
    <t>2025-12-17T10:04:26.000Z</t>
  </si>
  <si>
    <t>2024-09-28T13:20:23.000Z</t>
  </si>
  <si>
    <t>2026-01-27T07:58:15.000Z</t>
  </si>
  <si>
    <t>2024-05-06T06:29:08.000Z</t>
  </si>
  <si>
    <t>2025-10-06T11:09:47.000Z</t>
  </si>
  <si>
    <t>2024-05-16T06:31:05.000Z</t>
  </si>
  <si>
    <t>2025-12-11T07:32:13.000Z</t>
  </si>
  <si>
    <t>2024-05-25T12:06:38.000Z</t>
  </si>
  <si>
    <t>2025-12-09T08:15:15.000Z</t>
  </si>
  <si>
    <t>2024-07-05T03:49:53.000Z</t>
  </si>
  <si>
    <t>2026-04-13T12:16:59.000Z</t>
  </si>
  <si>
    <t>2024-07-20T04:30:01.000Z</t>
  </si>
  <si>
    <t>2026-02-07T10:12:15.000Z</t>
  </si>
  <si>
    <t>2024-08-05T04:49:07.000Z</t>
  </si>
  <si>
    <t>2026-05-06T16:15:07.000Z</t>
  </si>
  <si>
    <t>2024-08-16T11:55:01.000Z</t>
  </si>
  <si>
    <t>2026-03-10T14:02:11.000Z</t>
  </si>
  <si>
    <t>2024-09-10T07:43:41.000Z</t>
  </si>
  <si>
    <t>2026-01-26T11:27:54.000Z</t>
  </si>
  <si>
    <t>2024-05-13T14:42:07.000Z</t>
  </si>
  <si>
    <t>2025-10-28T04:36:28.000Z</t>
  </si>
  <si>
    <t>2024-06-14T09:12:37.000Z</t>
  </si>
  <si>
    <t>2026-02-10T05:25:21.000Z</t>
  </si>
  <si>
    <t>2024-08-07T08:34:31.000Z</t>
  </si>
  <si>
    <t>2026-01-08T10:29:56.000Z</t>
  </si>
  <si>
    <t>2024-04-14T03:43:42.000Z</t>
  </si>
  <si>
    <t>2025-07-28T08:32:39.000Z</t>
  </si>
  <si>
    <t>2024-06-08T10:38:03.000Z</t>
  </si>
  <si>
    <t>2026-02-07T06:34:53.000Z</t>
  </si>
  <si>
    <t>2024-07-05T11:34:10.000Z</t>
  </si>
  <si>
    <t>2026-01-06T05:58:42.000Z</t>
  </si>
  <si>
    <t>2024-07-17T09:11:29.000Z</t>
  </si>
  <si>
    <t>2026-01-11T09:25:47.000Z</t>
  </si>
  <si>
    <t>2024-08-13T03:35:43.000Z</t>
  </si>
  <si>
    <t>2026-04-28T11:38:10.000Z</t>
  </si>
  <si>
    <t>2024-08-28T06:10:43.000Z</t>
  </si>
  <si>
    <t>2026-01-22T11:10:14.000Z</t>
  </si>
  <si>
    <t>2024-09-17T14:42:52.000Z</t>
  </si>
  <si>
    <t>2026-04-24T05:51:19.000Z</t>
  </si>
  <si>
    <t>2024-04-14T13:11:53.000Z</t>
  </si>
  <si>
    <t>2026-04-24T11:16:55.000Z</t>
  </si>
  <si>
    <t>2024-04-22T12:52:47.000Z</t>
  </si>
  <si>
    <t>2025-07-30T11:29:08.000Z</t>
  </si>
  <si>
    <t>2024-06-12T08:54:52.000Z</t>
  </si>
  <si>
    <t>2026-01-31T07:19:40.000Z</t>
  </si>
  <si>
    <t>2024-07-16T09:25:40.000Z</t>
  </si>
  <si>
    <t>2026-01-26T03:22:32.000Z</t>
  </si>
  <si>
    <t>2024-08-26T05:22:20.000Z</t>
  </si>
  <si>
    <t>2026-01-09T08:33:58.000Z</t>
  </si>
  <si>
    <t>2024-03-30T04:44:27.000Z</t>
  </si>
  <si>
    <t>2025-11-07T07:56:48.000Z</t>
  </si>
  <si>
    <t>2024-04-30T09:18:04.000Z</t>
  </si>
  <si>
    <t>2025-11-12T13:32:08.000Z</t>
  </si>
  <si>
    <t>2024-05-10T04:34:45.000Z</t>
  </si>
  <si>
    <t>2025-08-14T11:18:31.000Z</t>
  </si>
  <si>
    <t>2024-05-10T07:24:25.000Z</t>
  </si>
  <si>
    <t>2025-09-02T10:49:22.000Z</t>
  </si>
  <si>
    <t>2024-05-24T14:04:43.000Z</t>
  </si>
  <si>
    <t>2026-01-20T07:49:57.000Z</t>
  </si>
  <si>
    <t>2024-07-26T04:53:18.000Z</t>
  </si>
  <si>
    <t>2026-01-09T07:12:03.000Z</t>
  </si>
  <si>
    <t>2024-08-03T11:05:22.000Z</t>
  </si>
  <si>
    <t>2026-03-02T11:42:48.000Z</t>
  </si>
  <si>
    <t>2024-08-04T03:42:00.000Z</t>
  </si>
  <si>
    <t>2026-04-18T03:59:07.000Z</t>
  </si>
  <si>
    <t>2024-08-19T11:56:11.000Z</t>
  </si>
  <si>
    <t>2026-03-30T05:17:52.000Z</t>
  </si>
  <si>
    <t>2024-10-18T08:10:03.000Z</t>
  </si>
  <si>
    <t>2025-09-23T03:26:04.000Z</t>
  </si>
  <si>
    <t>2024-03-07T12:58:20.000Z</t>
  </si>
  <si>
    <t>2026-01-20T16:06:56.000Z</t>
  </si>
  <si>
    <t>2024-05-10T05:25:44.000Z</t>
  </si>
  <si>
    <t>2026-02-09T09:13:04.000Z</t>
  </si>
  <si>
    <t>2024-05-30T07:57:03.000Z</t>
  </si>
  <si>
    <t>2026-01-16T10:31:28.000Z</t>
  </si>
  <si>
    <t>2024-07-15T06:33:23.000Z</t>
  </si>
  <si>
    <t>2025-10-06T00:05:36.000Z</t>
  </si>
  <si>
    <t>2024-09-02T07:32:29.000Z</t>
  </si>
  <si>
    <t>2026-03-20T05:43:59.000Z</t>
  </si>
  <si>
    <t>2024-09-18T06:49:31.000Z</t>
  </si>
  <si>
    <t>2025-07-30T07:28:38.000Z</t>
  </si>
  <si>
    <t>2024-04-08T06:26:22.000Z</t>
  </si>
  <si>
    <t>2026-01-27T15:50:45.000Z</t>
  </si>
  <si>
    <t>2024-06-27T08:25:00.000Z</t>
  </si>
  <si>
    <t>2026-05-03T01:22:09.000Z</t>
  </si>
  <si>
    <t>2024-09-30T10:26:13.000Z</t>
  </si>
  <si>
    <t>2026-03-10T05:22:38.000Z</t>
  </si>
  <si>
    <t>2024-11-14T15:51:19.000Z</t>
  </si>
  <si>
    <t>2025-12-30T07:08:44.000Z</t>
  </si>
  <si>
    <t>2025-01-30T01:28:18.000Z</t>
  </si>
  <si>
    <t>2026-01-21T04:30:35.000Z</t>
  </si>
  <si>
    <t>2024-05-04T03:55:53.000Z</t>
  </si>
  <si>
    <t>2026-01-06T04:25:02.000Z</t>
  </si>
  <si>
    <t>2024-05-16T04:43:15.000Z</t>
  </si>
  <si>
    <t>2026-03-03T05:17:17.000Z</t>
  </si>
  <si>
    <t>2024-05-23T06:58:47.000Z</t>
  </si>
  <si>
    <t>2025-12-16T07:42:24.000Z</t>
  </si>
  <si>
    <t>2024-05-24T13:16:21.000Z</t>
  </si>
  <si>
    <t>2025-09-20T07:57:35.000Z</t>
  </si>
  <si>
    <t>2024-05-24T13:58:53.000Z</t>
  </si>
  <si>
    <t>2026-02-03T07:19:17.000Z</t>
  </si>
  <si>
    <t>2024-05-27T04:19:31.000Z</t>
  </si>
  <si>
    <t>2025-08-06T11:00:35.000Z</t>
  </si>
  <si>
    <t>2024-06-15T12:08:17.000Z</t>
  </si>
  <si>
    <t>2025-06-02T13:04:46.000Z</t>
  </si>
  <si>
    <t>2024-07-06T07:46:04.000Z</t>
  </si>
  <si>
    <t>2026-03-14T04:57:38.000Z</t>
  </si>
  <si>
    <t>2024-08-22T10:32:14.000Z</t>
  </si>
  <si>
    <t>2026-02-19T09:14:29.000Z</t>
  </si>
  <si>
    <t>2024-08-27T11:46:56.000Z</t>
  </si>
  <si>
    <t>2026-02-14T07:36:24.000Z</t>
  </si>
  <si>
    <t>2024-09-11T14:53:39.000Z</t>
  </si>
  <si>
    <t>2026-04-10T14:36:50.000Z</t>
  </si>
  <si>
    <t>2024-05-22T09:04:44.000Z</t>
  </si>
  <si>
    <t>2025-12-28T11:47:03.000Z</t>
  </si>
  <si>
    <t>2024-06-27T08:11:57.000Z</t>
  </si>
  <si>
    <t>2026-01-08T05:26:39.000Z</t>
  </si>
  <si>
    <t>2024-07-02T04:16:04.000Z</t>
  </si>
  <si>
    <t>2026-01-17T12:43:58.000Z</t>
  </si>
  <si>
    <t>2024-07-03T07:13:08.000Z</t>
  </si>
  <si>
    <t>2026-02-18T07:08:38.000Z</t>
  </si>
  <si>
    <t>2025-03-04T06:17:23.000Z</t>
  </si>
  <si>
    <t>2026-04-05T02:56:27.000Z</t>
  </si>
  <si>
    <t>2023-12-07T13:51:06.000Z</t>
  </si>
  <si>
    <t>2026-01-30T04:01:17.000Z</t>
  </si>
  <si>
    <t>2024-01-02T08:59:24.000Z</t>
  </si>
  <si>
    <t>2026-01-22T11:43:31.000Z</t>
  </si>
  <si>
    <t>2024-06-22T13:20:08.000Z</t>
  </si>
  <si>
    <t>2026-04-21T05:08:41.000Z</t>
  </si>
  <si>
    <t>2024-08-18T02:26:16.000Z</t>
  </si>
  <si>
    <t>2025-12-27T08:24:42.000Z</t>
  </si>
  <si>
    <t>2024-08-24T01:49:07.000Z</t>
  </si>
  <si>
    <t>2026-01-05T14:45:36.000Z</t>
  </si>
  <si>
    <t>2024-09-30T14:31:28.000Z</t>
  </si>
  <si>
    <t>2026-02-14T10:55:29.000Z</t>
  </si>
  <si>
    <t>2024-11-19T06:31:36.000Z</t>
  </si>
  <si>
    <t>2026-01-10T06:40:44.000Z</t>
  </si>
  <si>
    <t>2025-04-07T05:22:46.000Z</t>
  </si>
  <si>
    <t>2026-04-21T07:22:55.000Z</t>
  </si>
  <si>
    <t>2025-07-16T04:14:44.000Z</t>
  </si>
  <si>
    <t>2026-02-18T05:06:46.000Z</t>
  </si>
  <si>
    <t>2024-05-01T05:51:32.000Z</t>
  </si>
  <si>
    <t>2025-12-07T04:37:32.000Z</t>
  </si>
  <si>
    <t>2024-05-07T06:39:23.000Z</t>
  </si>
  <si>
    <t>2025-03-18T04:56:12.000Z</t>
  </si>
  <si>
    <t>2024-08-16T11:31:52.000Z</t>
  </si>
  <si>
    <t>2025-11-25T11:12:59.000Z</t>
  </si>
  <si>
    <t>2024-08-17T14:52:30.000Z</t>
  </si>
  <si>
    <t>2026-01-17T12:03:47.000Z</t>
  </si>
  <si>
    <t>2024-09-01T12:58:48.000Z</t>
  </si>
  <si>
    <t>2026-04-15T05:48:11.000Z</t>
  </si>
  <si>
    <t>2024-10-02T13:44:42.000Z</t>
  </si>
  <si>
    <t>2026-01-22T11:15:19.000Z</t>
  </si>
  <si>
    <t>2025-06-21T05:01:14.000Z</t>
  </si>
  <si>
    <t>2026-04-08T07:18:18.000Z</t>
  </si>
  <si>
    <t>2024-01-19T08:57:30.000Z</t>
  </si>
  <si>
    <t>2025-10-09T01:38:19.000Z</t>
  </si>
  <si>
    <t>2024-04-27T11:23:50.000Z</t>
  </si>
  <si>
    <t>2025-11-10T06:14:47.000Z</t>
  </si>
  <si>
    <t>2024-05-17T05:00:22.000Z</t>
  </si>
  <si>
    <t>2025-05-27T07:07:10.000Z</t>
  </si>
  <si>
    <t>2024-05-19T07:03:07.000Z</t>
  </si>
  <si>
    <t>2026-03-20T10:50:40.000Z</t>
  </si>
  <si>
    <t>2024-05-21T14:39:56.000Z</t>
  </si>
  <si>
    <t>2025-10-18T06:51:51.000Z</t>
  </si>
  <si>
    <t>2024-07-06T08:16:55.000Z</t>
  </si>
  <si>
    <t>2026-04-26T08:44:09.000Z</t>
  </si>
  <si>
    <t>2024-07-07T09:59:19.000Z</t>
  </si>
  <si>
    <t>2026-01-23T09:33:41.000Z</t>
  </si>
  <si>
    <t>2024-08-19T04:30:52.000Z</t>
  </si>
  <si>
    <t>2025-12-29T10:11:49.000Z</t>
  </si>
  <si>
    <t>2024-08-19T05:03:27.000Z</t>
  </si>
  <si>
    <t>2026-02-17T05:26:09.000Z</t>
  </si>
  <si>
    <t>2024-12-09T04:32:04.000Z</t>
  </si>
  <si>
    <t>2026-02-01T07:24:32.000Z</t>
  </si>
  <si>
    <t>2024-12-11T07:30:14.000Z</t>
  </si>
  <si>
    <t>2025-10-09T08:08:37.000Z</t>
  </si>
  <si>
    <t>2024-05-03T03:52:02.000Z</t>
  </si>
  <si>
    <t>2025-12-16T04:36:37.000Z</t>
  </si>
  <si>
    <t>2024-05-26T06:06:43.000Z</t>
  </si>
  <si>
    <t>2025-12-26T11:11:56.000Z</t>
  </si>
  <si>
    <t>2024-05-30T10:02:57.000Z</t>
  </si>
  <si>
    <t>2026-03-28T05:58:43.000Z</t>
  </si>
  <si>
    <t>2024-06-24T10:54:38.000Z</t>
  </si>
  <si>
    <t>2025-12-06T09:17:48.000Z</t>
  </si>
  <si>
    <t>2024-07-13T07:13:18.000Z</t>
  </si>
  <si>
    <t>2025-12-27T02:19:33.000Z</t>
  </si>
  <si>
    <t>2024-08-10T08:39:10.000Z</t>
  </si>
  <si>
    <t>2026-05-05T07:22:11.000Z</t>
  </si>
  <si>
    <t>2024-08-21T06:17:37.000Z</t>
  </si>
  <si>
    <t>2025-09-19T06:00:37.000Z</t>
  </si>
  <si>
    <t>2024-08-31T10:10:44.000Z</t>
  </si>
  <si>
    <t>2025-12-17T08:41:42.000Z</t>
  </si>
  <si>
    <t>2024-10-07T11:50:23.000Z</t>
  </si>
  <si>
    <t>2026-02-12T04:22:34.000Z</t>
  </si>
  <si>
    <t>2024-04-18T11:38:14.000Z</t>
  </si>
  <si>
    <t>2025-07-22T12:16:53.000Z</t>
  </si>
  <si>
    <t>2024-05-05T09:20:14.000Z</t>
  </si>
  <si>
    <t>2026-01-06T07:09:14.000Z</t>
  </si>
  <si>
    <t>2024-05-06T06:01:00.000Z</t>
  </si>
  <si>
    <t>2026-02-05T13:34:45.000Z</t>
  </si>
  <si>
    <t>2024-05-28T07:46:14.000Z</t>
  </si>
  <si>
    <t>2025-11-04T05:37:37.000Z</t>
  </si>
  <si>
    <t>2024-06-23T04:56:09.000Z</t>
  </si>
  <si>
    <t>2025-12-03T08:41:27.000Z</t>
  </si>
  <si>
    <t>2024-06-26T08:26:39.000Z</t>
  </si>
  <si>
    <t>2025-03-05T08:37:53.000Z</t>
  </si>
  <si>
    <t>2024-02-07T05:26:03.000Z</t>
  </si>
  <si>
    <t>2025-03-13T10:40:23.000Z</t>
  </si>
  <si>
    <t>2024-03-04T12:29:40.000Z</t>
  </si>
  <si>
    <t>2025-12-17T11:01:48.000Z</t>
  </si>
  <si>
    <t>2024-04-27T06:40:32.000Z</t>
  </si>
  <si>
    <t>2025-07-14T09:57:46.000Z</t>
  </si>
  <si>
    <t>2024-04-30T08:29:44.000Z</t>
  </si>
  <si>
    <t>2025-10-30T05:15:18.000Z</t>
  </si>
  <si>
    <t>2024-05-17T03:35:26.000Z</t>
  </si>
  <si>
    <t>2026-02-22T11:54:35.000Z</t>
  </si>
  <si>
    <t>2024-06-21T09:26:34.000Z</t>
  </si>
  <si>
    <t>2026-02-10T03:51:58.000Z</t>
  </si>
  <si>
    <t>2024-06-22T04:32:57.000Z</t>
  </si>
  <si>
    <t>2026-04-10T10:31:14.000Z</t>
  </si>
  <si>
    <t>2024-08-10T08:24:46.000Z</t>
  </si>
  <si>
    <t>2025-07-23T05:22:14.000Z</t>
  </si>
  <si>
    <t>2024-08-22T09:57:32.000Z</t>
  </si>
  <si>
    <t>2025-08-27T08:42:00.000Z</t>
  </si>
  <si>
    <t>2024-11-05T16:26:31.000Z</t>
  </si>
  <si>
    <t>2026-03-16T05:14:36.000Z</t>
  </si>
  <si>
    <t>2025-01-30T07:19:44.000Z</t>
  </si>
  <si>
    <t>2025-11-18T06:50:43.000Z</t>
  </si>
  <si>
    <t>2024-04-28T03:15:14.000Z</t>
  </si>
  <si>
    <t>2026-01-21T13:05:25.000Z</t>
  </si>
  <si>
    <t>2024-05-24T07:57:04.000Z</t>
  </si>
  <si>
    <t>2026-01-20T11:10:10.000Z</t>
  </si>
  <si>
    <t>2024-06-13T06:09:06.000Z</t>
  </si>
  <si>
    <t>2025-12-23T07:47:17.000Z</t>
  </si>
  <si>
    <t>2024-06-15T05:53:18.000Z</t>
  </si>
  <si>
    <t>2025-12-10T09:30:08.000Z</t>
  </si>
  <si>
    <t>2024-07-16T07:01:26.000Z</t>
  </si>
  <si>
    <t>2026-01-20T04:20:22.000Z</t>
  </si>
  <si>
    <t>2024-07-18T11:32:57.000Z</t>
  </si>
  <si>
    <t>2025-09-28T04:58:10.000Z</t>
  </si>
  <si>
    <t>2025-03-02T11:39:09.000Z</t>
  </si>
  <si>
    <t>2026-03-21T06:37:34.000Z</t>
  </si>
  <si>
    <t>2025-07-24T08:01:17.000Z</t>
  </si>
  <si>
    <t>2025-12-18T07:13:44.000Z</t>
  </si>
  <si>
    <t>2024-05-26T02:26:32.000Z</t>
  </si>
  <si>
    <t>2026-01-02T09:17:16.000Z</t>
  </si>
  <si>
    <t>2024-05-31T08:39:09.000Z</t>
  </si>
  <si>
    <t>2026-01-12T06:13:41.000Z</t>
  </si>
  <si>
    <t>2024-06-10T04:45:41.000Z</t>
  </si>
  <si>
    <t>2025-08-04T12:22:25.000Z</t>
  </si>
  <si>
    <t>2024-06-23T04:17:37.000Z</t>
  </si>
  <si>
    <t>2025-08-27T07:06:17.000Z</t>
  </si>
  <si>
    <t>2024-07-08T06:51:02.000Z</t>
  </si>
  <si>
    <t>2025-12-22T05:48:18.000Z</t>
  </si>
  <si>
    <t>2024-07-10T13:28:16.000Z</t>
  </si>
  <si>
    <t>2025-09-23T13:18:03.000Z</t>
  </si>
  <si>
    <t>2024-07-29T04:07:21.000Z</t>
  </si>
  <si>
    <t>2026-02-26T09:52:25.000Z</t>
  </si>
  <si>
    <t>2024-08-14T10:26:55.000Z</t>
  </si>
  <si>
    <t>2025-12-26T05:28:18.000Z</t>
  </si>
  <si>
    <t>2024-12-14T11:22:28.000Z</t>
  </si>
  <si>
    <t>2026-01-30T13:39:01.000Z</t>
  </si>
  <si>
    <t>2025-04-03T06:07:36.000Z</t>
  </si>
  <si>
    <t>2026-04-27T07:36:16.000Z</t>
  </si>
  <si>
    <t>2025-05-29T10:03:26.000Z</t>
  </si>
  <si>
    <t>2026-04-07T04:52:50.000Z</t>
  </si>
  <si>
    <t>2024-05-04T05:15:05.000Z</t>
  </si>
  <si>
    <t>2025-06-29T06:10:15.000Z</t>
  </si>
  <si>
    <t>2024-05-20T08:11:13.000Z</t>
  </si>
  <si>
    <t>2026-02-12T08:06:57.000Z</t>
  </si>
  <si>
    <t>2024-06-11T08:20:27.000Z</t>
  </si>
  <si>
    <t>2026-02-04T02:38:29.000Z</t>
  </si>
  <si>
    <t>2024-06-21T14:09:20.000Z</t>
  </si>
  <si>
    <t>2025-08-27T08:30:03.000Z</t>
  </si>
  <si>
    <t>2024-06-23T04:25:43.000Z</t>
  </si>
  <si>
    <t>2025-10-11T12:33:40.000Z</t>
  </si>
  <si>
    <t>2024-06-30T07:54:26.000Z</t>
  </si>
  <si>
    <t>2025-09-08T04:44:29.000Z</t>
  </si>
  <si>
    <t>2024-07-08T03:02:27.000Z</t>
  </si>
  <si>
    <t>2025-09-02T09:21:54.000Z</t>
  </si>
  <si>
    <t>2024-07-24T06:20:47.000Z</t>
  </si>
  <si>
    <t>2025-11-25T03:23:08.000Z</t>
  </si>
  <si>
    <t>2024-08-23T05:49:33.000Z</t>
  </si>
  <si>
    <t>2025-03-25T10:18:29.000Z</t>
  </si>
  <si>
    <t>2024-12-16T08:22:00.000Z</t>
  </si>
  <si>
    <t>2025-12-16T06:53:49.000Z</t>
  </si>
  <si>
    <t>2025-01-28T10:55:13.000Z</t>
  </si>
  <si>
    <t>2026-01-16T05:03:24.000Z</t>
  </si>
  <si>
    <t>2025-07-05T08:57:17.000Z</t>
  </si>
  <si>
    <t>2026-03-17T07:37:20.000Z</t>
  </si>
  <si>
    <t>2024-01-10T07:27:06.000Z</t>
  </si>
  <si>
    <t>2025-12-21T13:53:49.000Z</t>
  </si>
  <si>
    <t>2024-04-11T16:57:38.000Z</t>
  </si>
  <si>
    <t>2025-08-06T06:48:08.000Z</t>
  </si>
  <si>
    <t>2024-05-02T03:37:07.000Z</t>
  </si>
  <si>
    <t>2025-12-26T06:03:09.000Z</t>
  </si>
  <si>
    <t>2024-05-20T07:41:29.000Z</t>
  </si>
  <si>
    <t>2025-10-20T07:39:34.000Z</t>
  </si>
  <si>
    <t>2024-05-26T05:37:42.000Z</t>
  </si>
  <si>
    <t>2026-02-03T06:30:45.000Z</t>
  </si>
  <si>
    <t>2024-05-26T08:54:40.000Z</t>
  </si>
  <si>
    <t>2025-09-16T07:28:25.000Z</t>
  </si>
  <si>
    <t>2024-05-29T06:41:22.000Z</t>
  </si>
  <si>
    <t>2026-04-03T14:24:19.000Z</t>
  </si>
  <si>
    <t>2024-05-29T10:40:30.000Z</t>
  </si>
  <si>
    <t>2026-01-07T06:22:33.000Z</t>
  </si>
  <si>
    <t>2024-06-21T09:01:27.000Z</t>
  </si>
  <si>
    <t>2025-10-08T09:36:04.000Z</t>
  </si>
  <si>
    <t>2024-08-01T04:20:15.000Z</t>
  </si>
  <si>
    <t>2026-02-17T11:35:31.000Z</t>
  </si>
  <si>
    <t>2024-08-20T06:54:26.000Z</t>
  </si>
  <si>
    <t>2025-11-04T06:48:09.000Z</t>
  </si>
  <si>
    <t>2024-08-25T06:54:35.000Z</t>
  </si>
  <si>
    <t>2026-01-23T08:13:59.000Z</t>
  </si>
  <si>
    <t>2024-08-27T04:27:56.000Z</t>
  </si>
  <si>
    <t>2025-08-05T05:06:48.000Z</t>
  </si>
  <si>
    <t>2023-12-15T19:42:05.000Z</t>
  </si>
  <si>
    <t>2026-01-12T06:41:46.000Z</t>
  </si>
  <si>
    <t>2024-02-07T04:48:38.000Z</t>
  </si>
  <si>
    <t>2025-06-19T12:50:24.000Z</t>
  </si>
  <si>
    <t>2024-04-18T11:23:33.000Z</t>
  </si>
  <si>
    <t>2024-08-23T05:43:00.000Z</t>
  </si>
  <si>
    <t>2024-04-18T11:33:15.000Z</t>
  </si>
  <si>
    <t>2025-05-05T09:51:15.000Z</t>
  </si>
  <si>
    <t>2024-06-04T05:48:49.000Z</t>
  </si>
  <si>
    <t>2026-01-27T04:22:27.000Z</t>
  </si>
  <si>
    <t>2024-06-08T08:18:07.000Z</t>
  </si>
  <si>
    <t>2026-01-09T06:26:43.000Z</t>
  </si>
  <si>
    <t>2024-07-19T09:28:50.000Z</t>
  </si>
  <si>
    <t>2025-09-22T04:30:08.000Z</t>
  </si>
  <si>
    <t>2024-08-01T04:51:46.000Z</t>
  </si>
  <si>
    <t>2025-11-11T12:28:48.000Z</t>
  </si>
  <si>
    <t>2024-08-11T05:12:03.000Z</t>
  </si>
  <si>
    <t>2026-04-09T06:57:26.000Z</t>
  </si>
  <si>
    <t>K1i00291</t>
  </si>
  <si>
    <t>2024-08-17T10:21:36.000Z</t>
  </si>
  <si>
    <t>2024-09-17T08:51:50.000Z</t>
  </si>
  <si>
    <t>K2i00030</t>
  </si>
  <si>
    <t>2024-08-20T11:22:43.000Z</t>
  </si>
  <si>
    <t>2024-12-04T09:44:57.000Z</t>
  </si>
  <si>
    <t>2024-09-12T09:44:07.000Z</t>
  </si>
  <si>
    <t>2026-04-02T11:32:34.000Z</t>
  </si>
  <si>
    <t>2024-09-13T06:33:33.000Z</t>
  </si>
  <si>
    <t>2025-11-29T07:20:23.000Z</t>
  </si>
  <si>
    <t>2025-02-07T07:31:37.000Z</t>
  </si>
  <si>
    <t>2025-12-16T04:00:12.000Z</t>
  </si>
  <si>
    <t>2025-07-09T04:03:27.000Z</t>
  </si>
  <si>
    <t>2025-10-17T11:07:57.000Z</t>
  </si>
  <si>
    <t>KAS00096</t>
  </si>
  <si>
    <t>2023-07-01T05:57:24.000Z</t>
  </si>
  <si>
    <t>2025-08-12T06:59:26.000Z</t>
  </si>
  <si>
    <t>2024-03-15T07:33:59.000Z</t>
  </si>
  <si>
    <t>2025-02-17T11:00:43.000Z</t>
  </si>
  <si>
    <t>2024-04-23T06:23:36.000Z</t>
  </si>
  <si>
    <t>2025-12-14T13:40:21.000Z</t>
  </si>
  <si>
    <t>2024-05-30T04:07:59.000Z</t>
  </si>
  <si>
    <t>2025-09-11T14:57:46.000Z</t>
  </si>
  <si>
    <t>2024-07-17T08:12:52.000Z</t>
  </si>
  <si>
    <t>2025-02-09T10:30:42.000Z</t>
  </si>
  <si>
    <t>2024-08-01T09:42:44.000Z</t>
  </si>
  <si>
    <t>2025-09-09T07:07:55.000Z</t>
  </si>
  <si>
    <t>2024-08-22T09:27:25.000Z</t>
  </si>
  <si>
    <t>2025-12-24T07:11:12.000Z</t>
  </si>
  <si>
    <t>2024-08-29T08:02:33.000Z</t>
  </si>
  <si>
    <t>2026-05-03T12:26:19.000Z</t>
  </si>
  <si>
    <t>2024-09-09T05:21:46.000Z</t>
  </si>
  <si>
    <t>2026-03-14T06:17:47.000Z</t>
  </si>
  <si>
    <t>2024-09-14T04:23:43.000Z</t>
  </si>
  <si>
    <t>2026-02-19T10:22:54.000Z</t>
  </si>
  <si>
    <t>2024-10-02T04:49:46.000Z</t>
  </si>
  <si>
    <t>2025-10-29T13:47:49.000Z</t>
  </si>
  <si>
    <t>2025-02-05T03:59:05.000Z</t>
  </si>
  <si>
    <t>2026-05-05T11:08:20.000Z</t>
  </si>
  <si>
    <t>2023-06-17T12:01:46.000Z</t>
  </si>
  <si>
    <t>2025-12-27T10:36:18.000Z</t>
  </si>
  <si>
    <t>2024-05-07T03:30:28.000Z</t>
  </si>
  <si>
    <t>2026-01-15T13:11:48.000Z</t>
  </si>
  <si>
    <t>2024-06-02T09:08:14.000Z</t>
  </si>
  <si>
    <t>2026-02-09T10:33:53.000Z</t>
  </si>
  <si>
    <t>2024-06-15T14:16:22.000Z</t>
  </si>
  <si>
    <t>2025-11-17T10:00:14.000Z</t>
  </si>
  <si>
    <t>2024-08-03T04:24:11.000Z</t>
  </si>
  <si>
    <t>2024-10-21T11:57:22.000Z</t>
  </si>
  <si>
    <t>2024-08-13T09:41:18.000Z</t>
  </si>
  <si>
    <t>2026-01-05T10:43:36.000Z</t>
  </si>
  <si>
    <t>2024-09-10T11:26:25.000Z</t>
  </si>
  <si>
    <t>2025-04-08T03:16:16.000Z</t>
  </si>
  <si>
    <t>2024-09-23T06:00:03.000Z</t>
  </si>
  <si>
    <t>2025-12-23T07:03:08.000Z</t>
  </si>
  <si>
    <t>2024-10-09T05:24:50.000Z</t>
  </si>
  <si>
    <t>2026-02-17T05:14:39.000Z</t>
  </si>
  <si>
    <t>2025-01-23T06:38:44.000Z</t>
  </si>
  <si>
    <t>2026-02-11T08:55:04.000Z</t>
  </si>
  <si>
    <t>2025-04-06T07:59:36.000Z</t>
  </si>
  <si>
    <t>2026-02-14T03:27:16.000Z</t>
  </si>
  <si>
    <t>2024-02-24T06:38:48.000Z</t>
  </si>
  <si>
    <t>2024-10-21T04:45:30.000Z</t>
  </si>
  <si>
    <t>2024-04-18T11:33:42.000Z</t>
  </si>
  <si>
    <t>2025-11-12T11:07:20.000Z</t>
  </si>
  <si>
    <t>2024-04-18T11:36:24.000Z</t>
  </si>
  <si>
    <t>2024-08-23T07:15:28.000Z</t>
  </si>
  <si>
    <t>2024-04-22T08:17:34.000Z</t>
  </si>
  <si>
    <t>2025-06-11T08:01:01.000Z</t>
  </si>
  <si>
    <t>2024-05-01T05:13:18.000Z</t>
  </si>
  <si>
    <t>2025-06-19T03:04:19.000Z</t>
  </si>
  <si>
    <t>2024-05-18T04:11:14.000Z</t>
  </si>
  <si>
    <t>2025-12-09T10:05:43.000Z</t>
  </si>
  <si>
    <t>2024-05-18T09:17:31.000Z</t>
  </si>
  <si>
    <t>2025-06-10T03:16:09.000Z</t>
  </si>
  <si>
    <t>2024-05-18T14:08:49.000Z</t>
  </si>
  <si>
    <t>2025-09-24T09:03:14.000Z</t>
  </si>
  <si>
    <t>2024-05-28T12:59:47.000Z</t>
  </si>
  <si>
    <t>2026-01-20T14:35:03.000Z</t>
  </si>
  <si>
    <t>2024-06-21T10:19:02.000Z</t>
  </si>
  <si>
    <t>2024-11-07T08:58:17.000Z</t>
  </si>
  <si>
    <t>2024-08-29T08:44:19.000Z</t>
  </si>
  <si>
    <t>2026-02-20T10:32:20.000Z</t>
  </si>
  <si>
    <t>2024-10-13T06:57:12.000Z</t>
  </si>
  <si>
    <t>2026-01-31T09:48:50.000Z</t>
  </si>
  <si>
    <t>2025-01-29T06:51:16.000Z</t>
  </si>
  <si>
    <t>2025-09-06T05:38:48.000Z</t>
  </si>
  <si>
    <t>2025-04-23T10:18:06.000Z</t>
  </si>
  <si>
    <t>2025-12-19T04:23:38.000Z</t>
  </si>
  <si>
    <t>KAS00094</t>
  </si>
  <si>
    <t>2023-07-15T12:21:10.000Z</t>
  </si>
  <si>
    <t>2025-08-12T06:03:34.000Z</t>
  </si>
  <si>
    <t>KAS00084</t>
  </si>
  <si>
    <t>2023-06-05T02:18:30.000Z</t>
  </si>
  <si>
    <t>2026-01-11T03:53:30.000Z</t>
  </si>
  <si>
    <t>KAS00062</t>
  </si>
  <si>
    <t>2024-04-18T04:26:43.000Z</t>
  </si>
  <si>
    <t>2024-12-13T05:28:23.000Z</t>
  </si>
  <si>
    <t>2024-04-18T11:32:06.000Z</t>
  </si>
  <si>
    <t>2024-10-09T01:57:41.000Z</t>
  </si>
  <si>
    <t>2024-05-08T04:06:09.000Z</t>
  </si>
  <si>
    <t>2025-09-26T04:00:45.000Z</t>
  </si>
  <si>
    <t>2024-05-18T07:14:09.000Z</t>
  </si>
  <si>
    <t>2026-03-25T08:22:35.000Z</t>
  </si>
  <si>
    <t>2024-06-02T05:29:22.000Z</t>
  </si>
  <si>
    <t>2025-06-07T04:48:01.000Z</t>
  </si>
  <si>
    <t>2024-06-20T07:04:12.000Z</t>
  </si>
  <si>
    <t>2025-12-13T07:01:59.000Z</t>
  </si>
  <si>
    <t>K1i00295</t>
  </si>
  <si>
    <t>2024-07-18T05:00:31.000Z</t>
  </si>
  <si>
    <t>2026-04-28T10:06:20.000Z</t>
  </si>
  <si>
    <t>2024-08-02T12:24:39.000Z</t>
  </si>
  <si>
    <t>2025-12-16T10:36:17.000Z</t>
  </si>
  <si>
    <t>2024-08-12T08:28:47.000Z</t>
  </si>
  <si>
    <t>2026-02-07T07:45:50.000Z</t>
  </si>
  <si>
    <t>2024-08-12T08:30:30.000Z</t>
  </si>
  <si>
    <t>2026-01-28T02:13:24.000Z</t>
  </si>
  <si>
    <t>2024-08-14T06:46:01.000Z</t>
  </si>
  <si>
    <t>2025-08-05T08:32:16.000Z</t>
  </si>
  <si>
    <t>2024-08-20T08:16:24.000Z</t>
  </si>
  <si>
    <t>2025-12-27T04:23:58.000Z</t>
  </si>
  <si>
    <t>2024-08-25T18:25:49.000Z</t>
  </si>
  <si>
    <t>2025-01-17T12:42:08.000Z</t>
  </si>
  <si>
    <t>2024-09-21T10:39:34.000Z</t>
  </si>
  <si>
    <t>2026-04-17T09:25:01.000Z</t>
  </si>
  <si>
    <t>2024-11-19T17:10:10.000Z</t>
  </si>
  <si>
    <t>2025-12-24T09:01:54.000Z</t>
  </si>
  <si>
    <t>2024-12-06T06:11:57.000Z</t>
  </si>
  <si>
    <t>2025-08-24T04:18:33.000Z</t>
  </si>
  <si>
    <t>2025-01-09T07:54:37.000Z</t>
  </si>
  <si>
    <t>2026-01-02T08:17:49.000Z</t>
  </si>
  <si>
    <t>2025-01-26T11:48:28.000Z</t>
  </si>
  <si>
    <t>2025-06-27T07:07:00.000Z</t>
  </si>
  <si>
    <t>2025-09-13T11:35:58.000Z</t>
  </si>
  <si>
    <t>2026-04-22T05:19:54.000Z</t>
  </si>
  <si>
    <t>KAS00029</t>
  </si>
  <si>
    <t>2023-11-01T07:08:42.000Z</t>
  </si>
  <si>
    <t>2024-03-19T10:43:49.000Z</t>
  </si>
  <si>
    <t>2023-12-07T13:51:00.000Z</t>
  </si>
  <si>
    <t>2026-04-21T05:33:28.000Z</t>
  </si>
  <si>
    <t>TEST-KAS3</t>
  </si>
  <si>
    <t>2023-12-18T17:05:31.000Z</t>
  </si>
  <si>
    <t>2025-01-04T06:41:29.000Z</t>
  </si>
  <si>
    <t>2024-05-28T08:52:31.000Z</t>
  </si>
  <si>
    <t>2026-01-25T08:27:48.000Z</t>
  </si>
  <si>
    <t>2024-06-25T12:01:27.000Z</t>
  </si>
  <si>
    <t>2026-01-05T09:21:56.000Z</t>
  </si>
  <si>
    <t>2024-07-11T09:04:44.000Z</t>
  </si>
  <si>
    <t>2026-01-07T11:22:52.000Z</t>
  </si>
  <si>
    <t>K1i00296</t>
  </si>
  <si>
    <t>2024-07-18T04:45:13.000Z</t>
  </si>
  <si>
    <t>2025-01-21T10:28:47.000Z</t>
  </si>
  <si>
    <t>2024-08-03T13:15:02.000Z</t>
  </si>
  <si>
    <t>2025-09-26T09:57:24.000Z</t>
  </si>
  <si>
    <t>2024-08-10T05:06:31.000Z</t>
  </si>
  <si>
    <t>2024-09-14T13:33:14.000Z</t>
  </si>
  <si>
    <t>2024-08-24T13:34:54.000Z</t>
  </si>
  <si>
    <t>2024-11-07T12:21:58.000Z</t>
  </si>
  <si>
    <t>2024-09-15T11:47:58.000Z</t>
  </si>
  <si>
    <t>2025-01-20T09:15:06.000Z</t>
  </si>
  <si>
    <t>2025-02-08T05:43:29.000Z</t>
  </si>
  <si>
    <t>2026-04-30T12:46:08.000Z</t>
  </si>
  <si>
    <t>2025-02-18T10:14:24.000Z</t>
  </si>
  <si>
    <t>2026-02-05T06:28:06.000Z</t>
  </si>
  <si>
    <t>2025-07-03T11:10:07.000Z</t>
  </si>
  <si>
    <t>2026-04-27T03:51:58.000Z</t>
  </si>
  <si>
    <t>KAS00003</t>
  </si>
  <si>
    <t>2023-10-13T12:27:46.000Z</t>
  </si>
  <si>
    <t>2024-02-19T16:28:47.000Z</t>
  </si>
  <si>
    <t>2024-04-18T11:32:43.000Z</t>
  </si>
  <si>
    <t>2024-12-17T05:57:17.000Z</t>
  </si>
  <si>
    <t>2024-05-03T05:33:11.000Z</t>
  </si>
  <si>
    <t>2026-04-21T05:38:30.000Z</t>
  </si>
  <si>
    <t>2024-05-23T12:50:58.000Z</t>
  </si>
  <si>
    <t>2025-08-29T11:52:19.000Z</t>
  </si>
  <si>
    <t>2024-05-24T13:44:17.000Z</t>
  </si>
  <si>
    <t>2026-01-24T13:35:30.000Z</t>
  </si>
  <si>
    <t>2024-08-21T05:25:37.000Z</t>
  </si>
  <si>
    <t>2026-02-28T05:12:59.000Z</t>
  </si>
  <si>
    <t>2024-08-21T06:30:33.000Z</t>
  </si>
  <si>
    <t>2025-07-05T05:43:05.000Z</t>
  </si>
  <si>
    <t>2024-09-07T04:16:40.000Z</t>
  </si>
  <si>
    <t>2026-03-08T07:37:22.000Z</t>
  </si>
  <si>
    <t>2024-09-13T12:55:19.000Z</t>
  </si>
  <si>
    <t>2025-08-18T06:08:50.000Z</t>
  </si>
  <si>
    <t>2025-02-05T06:22:40.000Z</t>
  </si>
  <si>
    <t>2025-12-02T08:50:45.000Z</t>
  </si>
  <si>
    <t>2025-07-20T05:07:46.000Z</t>
  </si>
  <si>
    <t>2025-12-19T06:34:50.000Z</t>
  </si>
  <si>
    <t>2025-07-20T13:38:15.000Z</t>
  </si>
  <si>
    <t>2026-01-31T05:25:23.000Z</t>
  </si>
  <si>
    <t>2025-08-04T10:46:40.000Z</t>
  </si>
  <si>
    <t>2026-01-20T03:12:16.000Z</t>
  </si>
  <si>
    <t>2025-08-06T09:02:44.000Z</t>
  </si>
  <si>
    <t>2026-04-15T06:44:46.000Z</t>
  </si>
  <si>
    <t>2025-08-28T10:06:17.000Z</t>
  </si>
  <si>
    <t>2026-01-27T04:48:47.000Z</t>
  </si>
  <si>
    <t>2025-09-26T08:59:30.000Z</t>
  </si>
  <si>
    <t>2026-04-20T08:53:03.000Z</t>
  </si>
  <si>
    <t>KAS00059</t>
  </si>
  <si>
    <t>2023-07-21T12:32:51.000Z</t>
  </si>
  <si>
    <t>2024-03-04T12:57:00.000Z</t>
  </si>
  <si>
    <t>KAS00010</t>
  </si>
  <si>
    <t>2023-07-25T03:40:40.000Z</t>
  </si>
  <si>
    <t>2024-12-09T12:34:27.000Z</t>
  </si>
  <si>
    <t>KAS00053</t>
  </si>
  <si>
    <t>2023-09-17T06:55:41.000Z</t>
  </si>
  <si>
    <t>2024-04-01T04:40:23.000Z</t>
  </si>
  <si>
    <t>2024-04-18T11:34:54.000Z</t>
  </si>
  <si>
    <t>2026-02-09T07:49:17.000Z</t>
  </si>
  <si>
    <t>2024-04-18T11:37:00.000Z</t>
  </si>
  <si>
    <t>2025-07-08T10:25:18.000Z</t>
  </si>
  <si>
    <t>2024-08-02T09:53:44.000Z</t>
  </si>
  <si>
    <t>2026-01-07T16:48:29.000Z</t>
  </si>
  <si>
    <t>2024-08-05T10:35:22.000Z</t>
  </si>
  <si>
    <t>2025-09-16T07:32:50.000Z</t>
  </si>
  <si>
    <t>2024-09-10T04:57:27.000Z</t>
  </si>
  <si>
    <t>2024-12-21T06:10:32.000Z</t>
  </si>
  <si>
    <t>2024-10-18T09:50:49.000Z</t>
  </si>
  <si>
    <t>2025-12-18T16:01:42.000Z</t>
  </si>
  <si>
    <t>2024-11-27T10:32:30.000Z</t>
  </si>
  <si>
    <t>2026-02-06T04:39:32.000Z</t>
  </si>
  <si>
    <t>2024-12-10T13:48:52.000Z</t>
  </si>
  <si>
    <t>2026-01-09T07:33:53.000Z</t>
  </si>
  <si>
    <t>2024-12-21T14:53:49.000Z</t>
  </si>
  <si>
    <t>2025-11-11T05:34:22.000Z</t>
  </si>
  <si>
    <t>K2i00092</t>
  </si>
  <si>
    <t>2025-04-14T07:03:09.000Z</t>
  </si>
  <si>
    <t>2025-07-14T07:48:47.000Z</t>
  </si>
  <si>
    <t>2025-05-22T05:22:27.000Z</t>
  </si>
  <si>
    <t>2025-12-30T09:31:26.000Z</t>
  </si>
  <si>
    <t>KAS00088</t>
  </si>
  <si>
    <t>2023-10-09T13:41:41.000Z</t>
  </si>
  <si>
    <t>2025-09-15T05:36:42.000Z</t>
  </si>
  <si>
    <t>2023-08-28T13:06:56.000Z</t>
  </si>
  <si>
    <t>2024-05-01T08:14:25.000Z</t>
  </si>
  <si>
    <t>KAS00002</t>
  </si>
  <si>
    <t>2023-08-18T09:38:47.000Z</t>
  </si>
  <si>
    <t>2024-03-21T06:37:16.000Z</t>
  </si>
  <si>
    <t>KAS00001</t>
  </si>
  <si>
    <t>2023-08-09T16:28:25.000Z</t>
  </si>
  <si>
    <t>2024-01-25T03:59:55.000Z</t>
  </si>
  <si>
    <t>KAS00056</t>
  </si>
  <si>
    <t>2023-07-30T03:06:20.000Z</t>
  </si>
  <si>
    <t>2024-03-22T11:56:48.000Z</t>
  </si>
  <si>
    <t>KAS00040</t>
  </si>
  <si>
    <t>2023-08-21T10:25:02.000Z</t>
  </si>
  <si>
    <t>2024-03-19T07:04:38.000Z</t>
  </si>
  <si>
    <t>KAS00074</t>
  </si>
  <si>
    <t>2023-11-27T12:30:58.000Z</t>
  </si>
  <si>
    <t>2024-07-30T09:18:47.000Z</t>
  </si>
  <si>
    <t>2024-04-18T11:29:31.000Z</t>
  </si>
  <si>
    <t>2024-11-26T05:01:44.000Z</t>
  </si>
  <si>
    <t>2024-04-18T11:38:45.000Z</t>
  </si>
  <si>
    <t>2024-08-06T05:56:04.000Z</t>
  </si>
  <si>
    <t>2024-04-27T07:55:20.000Z</t>
  </si>
  <si>
    <t>2025-09-09T11:22:59.000Z</t>
  </si>
  <si>
    <t>2024-06-01T05:50:40.000Z</t>
  </si>
  <si>
    <t>2026-01-14T09:49:40.000Z</t>
  </si>
  <si>
    <t>2024-07-28T07:37:58.000Z</t>
  </si>
  <si>
    <t>2025-06-09T11:32:14.000Z</t>
  </si>
  <si>
    <t>2024-07-31T08:46:56.000Z</t>
  </si>
  <si>
    <t>2025-06-16T10:59:53.000Z</t>
  </si>
  <si>
    <t>K1i00292</t>
  </si>
  <si>
    <t>2024-09-01T15:43:58.000Z</t>
  </si>
  <si>
    <t>2024-09-20T15:04:48.000Z</t>
  </si>
  <si>
    <t>2024-09-28T13:15:04.000Z</t>
  </si>
  <si>
    <t>2025-06-18T10:01:59.000Z</t>
  </si>
  <si>
    <t>2024-10-10T11:20:33.000Z</t>
  </si>
  <si>
    <t>2025-06-02T10:14:44.000Z</t>
  </si>
  <si>
    <t>K2i00044</t>
  </si>
  <si>
    <t>2024-12-13T09:50:52.000Z</t>
  </si>
  <si>
    <t>2026-04-11T06:35:08.000Z</t>
  </si>
  <si>
    <t>2025-03-20T09:25:59.000Z</t>
  </si>
  <si>
    <t>2025-12-08T06:36:45.000Z</t>
  </si>
  <si>
    <t>2025-05-31T11:12:07.000Z</t>
  </si>
  <si>
    <t>2026-05-05T08:37:25.000Z</t>
  </si>
  <si>
    <t>2025-07-15T07:03:36.000Z</t>
  </si>
  <si>
    <t>2026-01-12T09:13:58.000Z</t>
  </si>
  <si>
    <t>2025-08-03T16:11:33.000Z</t>
  </si>
  <si>
    <t>2025-12-19T04:26:32.000Z</t>
  </si>
  <si>
    <t>2025-08-15T12:15:43.000Z</t>
  </si>
  <si>
    <t>2026-02-15T12:22:37.000Z</t>
  </si>
  <si>
    <t>2025-10-10T06:56:41.000Z</t>
  </si>
  <si>
    <t>2026-04-02T06:54:07.000Z</t>
  </si>
  <si>
    <t>2025-10-20T04:41:53.000Z</t>
  </si>
  <si>
    <t>2026-02-27T05:58:06.000Z</t>
  </si>
  <si>
    <t>KAS00101</t>
  </si>
  <si>
    <t>2023-08-18T14:05:19.000Z</t>
  </si>
  <si>
    <t>2024-04-02T08:25:14.000Z</t>
  </si>
  <si>
    <t>KAS00073</t>
  </si>
  <si>
    <t>2023-08-02T03:36:37.000Z</t>
  </si>
  <si>
    <t>2024-03-16T07:20:13.000Z</t>
  </si>
  <si>
    <t>KAS00014</t>
  </si>
  <si>
    <t>2023-08-19T08:03:10.000Z</t>
  </si>
  <si>
    <t>2024-03-06T08:14:26.000Z</t>
  </si>
  <si>
    <t>KAS00017</t>
  </si>
  <si>
    <t>2023-11-10T01:56:50.000Z</t>
  </si>
  <si>
    <t>2024-03-07T09:05:46.000Z</t>
  </si>
  <si>
    <t>2023-06-19T05:37:05.000Z</t>
  </si>
  <si>
    <t>2024-01-25T05:21:56.000Z</t>
  </si>
  <si>
    <t>KAS00028</t>
  </si>
  <si>
    <t>2023-08-10T08:03:10.000Z</t>
  </si>
  <si>
    <t>2024-05-27T13:42:11.000Z</t>
  </si>
  <si>
    <t>2023-07-11T08:08:46.000Z</t>
  </si>
  <si>
    <t>2024-03-30T04:41:28.000Z</t>
  </si>
  <si>
    <t>KAS00091</t>
  </si>
  <si>
    <t>2023-09-26T12:18:25.000Z</t>
  </si>
  <si>
    <t>2024-03-30T14:28:43.000Z</t>
  </si>
  <si>
    <t>KAS00006</t>
  </si>
  <si>
    <t>2023-11-01T07:13:25.000Z</t>
  </si>
  <si>
    <t>2024-04-01T12:46:11.000Z</t>
  </si>
  <si>
    <t>KEN00022</t>
  </si>
  <si>
    <t>2024-02-10T04:45:40.000Z</t>
  </si>
  <si>
    <t>2024-05-06T10:32:00.000Z</t>
  </si>
  <si>
    <t>2024-03-14T06:20:58.000Z</t>
  </si>
  <si>
    <t>2024-06-15T08:55:55.000Z</t>
  </si>
  <si>
    <t>2024-06-02T07:56:11.000Z</t>
  </si>
  <si>
    <t>2025-09-04T10:40:40.000Z</t>
  </si>
  <si>
    <t>2024-06-09T04:58:55.000Z</t>
  </si>
  <si>
    <t>2025-07-17T06:10:10.000Z</t>
  </si>
  <si>
    <t>2024-06-12T10:35:28.000Z</t>
  </si>
  <si>
    <t>2025-12-22T10:23:02.000Z</t>
  </si>
  <si>
    <t>2024-08-16T09:10:43.000Z</t>
  </si>
  <si>
    <t>2025-10-01T09:34:53.000Z</t>
  </si>
  <si>
    <t>2024-09-19T04:42:27.000Z</t>
  </si>
  <si>
    <t>2026-02-11T04:38:49.000Z</t>
  </si>
  <si>
    <t>2025-02-13T09:11:49.000Z</t>
  </si>
  <si>
    <t>2025-09-01T11:49:37.000Z</t>
  </si>
  <si>
    <t>2025-05-20T04:01:05.000Z</t>
  </si>
  <si>
    <t>2026-03-03T12:09:37.000Z</t>
  </si>
  <si>
    <t>K2i00098</t>
  </si>
  <si>
    <t>2025-05-22T05:23:47.000Z</t>
  </si>
  <si>
    <t>2026-05-03T05:23:26.000Z</t>
  </si>
  <si>
    <t>2025-05-30T06:05:23.000Z</t>
  </si>
  <si>
    <t>2025-09-28T08:57:09.000Z</t>
  </si>
  <si>
    <t>2025-07-22T06:18:06.000Z</t>
  </si>
  <si>
    <t>2025-12-09T08:42:41.000Z</t>
  </si>
  <si>
    <t>2025-08-01T15:56:01.000Z</t>
  </si>
  <si>
    <t>2026-01-26T13:13:33.000Z</t>
  </si>
  <si>
    <t>2025-10-20T04:36:58.000Z</t>
  </si>
  <si>
    <t>2025-12-29T09:43:46.000Z</t>
  </si>
  <si>
    <t>KAS00103</t>
  </si>
  <si>
    <t>2023-08-27T06:45:19.000Z</t>
  </si>
  <si>
    <t>2024-03-14T10:08:02.000Z</t>
  </si>
  <si>
    <t>KAS00087</t>
  </si>
  <si>
    <t>2023-11-05T04:19:57.000Z</t>
  </si>
  <si>
    <t>2024-03-11T04:47:09.000Z</t>
  </si>
  <si>
    <t>KAS00011</t>
  </si>
  <si>
    <t>2023-10-16T08:01:38.000Z</t>
  </si>
  <si>
    <t>2024-03-08T02:56:24.000Z</t>
  </si>
  <si>
    <t>2023-06-19T05:39:17.000Z</t>
  </si>
  <si>
    <t>2024-03-27T13:43:52.000Z</t>
  </si>
  <si>
    <t>KAS00030</t>
  </si>
  <si>
    <t>2023-08-15T06:36:31.000Z</t>
  </si>
  <si>
    <t>2024-02-21T16:37:30.000Z</t>
  </si>
  <si>
    <t>2023-09-15T04:04:55.000Z</t>
  </si>
  <si>
    <t>2024-03-17T04:26:29.000Z</t>
  </si>
  <si>
    <t>KAS00102</t>
  </si>
  <si>
    <t>2023-12-14T06:36:06.000Z</t>
  </si>
  <si>
    <t>2024-03-22T14:44:19.000Z</t>
  </si>
  <si>
    <t>KAS00060</t>
  </si>
  <si>
    <t>2024-01-10T08:27:31.000Z</t>
  </si>
  <si>
    <t>2024-04-02T12:30:43.000Z</t>
  </si>
  <si>
    <t>2024-04-18T11:34:20.000Z</t>
  </si>
  <si>
    <t>2025-04-15T09:08:27.000Z</t>
  </si>
  <si>
    <t>2024-05-13T14:51:08.000Z</t>
  </si>
  <si>
    <t>2024-10-01T05:11:35.000Z</t>
  </si>
  <si>
    <t>2025-02-05T11:52:19.000Z</t>
  </si>
  <si>
    <t>2025-08-05T08:17:27.000Z</t>
  </si>
  <si>
    <t>2025-07-01T12:05:43.000Z</t>
  </si>
  <si>
    <t>2026-01-09T01:31:17.000Z</t>
  </si>
  <si>
    <t>2025-07-01T12:06:13.000Z</t>
  </si>
  <si>
    <t>2026-04-20T03:42:27.000Z</t>
  </si>
  <si>
    <t>2025-08-16T12:49:02.000Z</t>
  </si>
  <si>
    <t>2025-09-21T10:51:15.000Z</t>
  </si>
  <si>
    <t>2025-08-29T05:39:00.000Z</t>
  </si>
  <si>
    <t>2026-02-16T10:07:55.000Z</t>
  </si>
  <si>
    <t>2025-09-09T15:17:29.000Z</t>
  </si>
  <si>
    <t>2025-09-20T07:24:06.000Z</t>
  </si>
  <si>
    <t>2025-09-12T08:35:10.000Z</t>
  </si>
  <si>
    <t>2026-02-28T13:35:09.000Z</t>
  </si>
  <si>
    <t>2025-10-03T05:50:51.000Z</t>
  </si>
  <si>
    <t>2026-04-23T03:32:16.000Z</t>
  </si>
  <si>
    <t>2026-04-09T04:26:26.000Z</t>
  </si>
  <si>
    <t>2026-04-24T11:38:11.000Z</t>
  </si>
  <si>
    <t>KAS00018</t>
  </si>
  <si>
    <t>2023-05-12T10:38:35.000Z</t>
  </si>
  <si>
    <t>2024-02-29T05:08:29.000Z</t>
  </si>
  <si>
    <t>KAS00072</t>
  </si>
  <si>
    <t>2023-11-06T07:46:50.000Z</t>
  </si>
  <si>
    <t>2024-04-24T08:59:45.000Z</t>
  </si>
  <si>
    <t>KAS00041</t>
  </si>
  <si>
    <t>2023-08-11T08:22:25.000Z</t>
  </si>
  <si>
    <t>2024-01-03T06:57:40.000Z</t>
  </si>
  <si>
    <t>KAS00080</t>
  </si>
  <si>
    <t>2023-05-22T16:44:56.000Z</t>
  </si>
  <si>
    <t>2023-09-25T12:52:17.000Z</t>
  </si>
  <si>
    <t>KAS00071</t>
  </si>
  <si>
    <t>2023-10-28T13:36:17.000Z</t>
  </si>
  <si>
    <t>2024-03-06T13:22:11.000Z</t>
  </si>
  <si>
    <t>KAS00063</t>
  </si>
  <si>
    <t>2023-09-06T12:47:07.000Z</t>
  </si>
  <si>
    <t>2024-03-05T07:52:32.000Z</t>
  </si>
  <si>
    <t>2023-11-19T05:23:23.000Z</t>
  </si>
  <si>
    <t>2023-12-09T09:23:39.000Z</t>
  </si>
  <si>
    <t>2023-07-01T13:46:32.000Z</t>
  </si>
  <si>
    <t>2024-03-20T07:09:33.000Z</t>
  </si>
  <si>
    <t>2023-08-09T17:15:12.000Z</t>
  </si>
  <si>
    <t>2024-04-10T04:19:11.000Z</t>
  </si>
  <si>
    <t>KAS00004</t>
  </si>
  <si>
    <t>2023-11-22T08:12:07.000Z</t>
  </si>
  <si>
    <t>2024-03-06T08:10:23.000Z</t>
  </si>
  <si>
    <t>KAS00067</t>
  </si>
  <si>
    <t>2023-10-30T10:45:41.000Z</t>
  </si>
  <si>
    <t>2024-03-08T03:01:07.000Z</t>
  </si>
  <si>
    <t>KAS00016</t>
  </si>
  <si>
    <t>2023-07-28T10:01:34.000Z</t>
  </si>
  <si>
    <t>2023-12-08T13:44:51.000Z</t>
  </si>
  <si>
    <t>KAS00034</t>
  </si>
  <si>
    <t>2023-11-29T07:51:57.000Z</t>
  </si>
  <si>
    <t>2024-03-20T06:11:05.000Z</t>
  </si>
  <si>
    <t>KAS00098</t>
  </si>
  <si>
    <t>2023-12-14T14:36:46.000Z</t>
  </si>
  <si>
    <t>2024-02-26T10:19:38.000Z</t>
  </si>
  <si>
    <t>KAS00035</t>
  </si>
  <si>
    <t>2023-12-18T08:34:07.000Z</t>
  </si>
  <si>
    <t>2024-03-30T04:29:00.000Z</t>
  </si>
  <si>
    <t>2023-12-20T11:10:35.000Z</t>
  </si>
  <si>
    <t>2024-03-10T07:21:28.000Z</t>
  </si>
  <si>
    <t>KAS00007</t>
  </si>
  <si>
    <t>2023-12-28T06:26:07.000Z</t>
  </si>
  <si>
    <t>2024-05-27T13:43:17.000Z</t>
  </si>
  <si>
    <t>KAS00008</t>
  </si>
  <si>
    <t>2024-01-16T06:52:55.000Z</t>
  </si>
  <si>
    <t>2024-03-08T06:34:45.000Z</t>
  </si>
  <si>
    <t>KEN00013</t>
  </si>
  <si>
    <t>2024-01-30T15:58:47.000Z</t>
  </si>
  <si>
    <t>2024-03-22T06:36:35.000Z</t>
  </si>
  <si>
    <t>KAS00023</t>
  </si>
  <si>
    <t>2024-02-07T11:00:49.000Z</t>
  </si>
  <si>
    <t>2024-02-28T10:32:50.000Z</t>
  </si>
  <si>
    <t>2024-02-08T05:06:08.000Z</t>
  </si>
  <si>
    <t>2024-03-26T15:47:29.000Z</t>
  </si>
  <si>
    <t>KAS00037</t>
  </si>
  <si>
    <t>2024-02-09T07:01:18.000Z</t>
  </si>
  <si>
    <t>2024-03-20T09:31:12.000Z</t>
  </si>
  <si>
    <t>2024-02-09T08:28:12.000Z</t>
  </si>
  <si>
    <t>2024-03-19T16:18:26.000Z</t>
  </si>
  <si>
    <t>2024-02-10T05:54:09.000Z</t>
  </si>
  <si>
    <t>2024-11-25T11:37:45.000Z</t>
  </si>
  <si>
    <t>AVB-HIL</t>
  </si>
  <si>
    <t>2024-02-11T14:26:52.000Z</t>
  </si>
  <si>
    <t>2024-04-30T04:07:03.000Z</t>
  </si>
  <si>
    <t>2024-02-19T10:46:46.000Z</t>
  </si>
  <si>
    <t>2024-07-11T09:21:55.000Z</t>
  </si>
  <si>
    <t>KEN00021</t>
  </si>
  <si>
    <t>2024-02-24T13:44:19.000Z</t>
  </si>
  <si>
    <t>2024-03-31T06:32:13.000Z</t>
  </si>
  <si>
    <t>2024-03-09T03:49:51.000Z</t>
  </si>
  <si>
    <t>2024-03-20T06:12:40.000Z</t>
  </si>
  <si>
    <t>2024-05-13T08:20:35.000Z</t>
  </si>
  <si>
    <t>2026-01-09T08:06:10.000Z</t>
  </si>
  <si>
    <t>2024-05-14T12:58:32.000Z</t>
  </si>
  <si>
    <t>2024-10-07T10:40:03.000Z</t>
  </si>
  <si>
    <t>2024-05-23T04:23:53.000Z</t>
  </si>
  <si>
    <t>2025-05-31T08:55:37.000Z</t>
  </si>
  <si>
    <t>2024-06-17T09:21:19.000Z</t>
  </si>
  <si>
    <t>2025-06-02T07:29:57.000Z</t>
  </si>
  <si>
    <t>2025-01-11T09:31:53.000Z</t>
  </si>
  <si>
    <t>2025-06-10T04:15:27.000Z</t>
  </si>
  <si>
    <t>2025-02-13T08:45:38.000Z</t>
  </si>
  <si>
    <t>2025-06-27T04:30:19.000Z</t>
  </si>
  <si>
    <t>2025-05-19T06:52:37.000Z</t>
  </si>
  <si>
    <t>2026-04-24T04:45:06.000Z</t>
  </si>
  <si>
    <t>2025-06-27T03:21:53.000Z</t>
  </si>
  <si>
    <t>2026-01-21T13:05:41.000Z</t>
  </si>
  <si>
    <t>2025-07-31T11:58:06.000Z</t>
  </si>
  <si>
    <t>2025-08-02T09:50:44.000Z</t>
  </si>
  <si>
    <t>K2i00076</t>
  </si>
  <si>
    <t>2025-08-05T10:04:21.000Z</t>
  </si>
  <si>
    <t>2026-03-09T10:59:27.000Z</t>
  </si>
  <si>
    <t>2025-11-02T08:35:53.000Z</t>
  </si>
  <si>
    <t>2026-02-15T07:51:27.000Z</t>
  </si>
  <si>
    <t>2025-11-21T06:24:52.000Z</t>
  </si>
  <si>
    <t>2026-01-28T08:00:57.000Z</t>
  </si>
  <si>
    <t>2026-03-19T15:33:09.000Z</t>
  </si>
  <si>
    <t>2026-05-02T08:48:48.000Z</t>
  </si>
  <si>
    <t>KAS00093</t>
  </si>
  <si>
    <t>2023-07-04T18:17:29.000Z</t>
  </si>
  <si>
    <t>2023-10-11T16:23:35.000Z</t>
  </si>
  <si>
    <t>KAS00085</t>
  </si>
  <si>
    <t>2023-08-01T11:21:35.000Z</t>
  </si>
  <si>
    <t>2023-11-18T08:50:13.000Z</t>
  </si>
  <si>
    <t>KAS00055</t>
  </si>
  <si>
    <t>2023-08-12T11:08:39.000Z</t>
  </si>
  <si>
    <t>2023-11-05T11:56:39.000Z</t>
  </si>
  <si>
    <t>KAS00050</t>
  </si>
  <si>
    <t>2023-11-24T06:33:57.000Z</t>
  </si>
  <si>
    <t>2024-03-21T11:25:29.000Z</t>
  </si>
  <si>
    <t>2023-09-01T05:25:21.000Z</t>
  </si>
  <si>
    <t>2023-11-27T07:57:14.000Z</t>
  </si>
  <si>
    <t>KAS00100</t>
  </si>
  <si>
    <t>2023-08-22T14:28:12.000Z</t>
  </si>
  <si>
    <t>2024-03-21T06:09:53.000Z</t>
  </si>
  <si>
    <t>KAS00070</t>
  </si>
  <si>
    <t>2023-07-30T12:31:00.000Z</t>
  </si>
  <si>
    <t>2024-02-15T16:05:30.000Z</t>
  </si>
  <si>
    <t>2023-12-20T06:52:16.000Z</t>
  </si>
  <si>
    <t>2024-02-24T11:26:11.000Z</t>
  </si>
  <si>
    <t>KEN00012</t>
  </si>
  <si>
    <t>2024-02-23T17:55:33.000Z</t>
  </si>
  <si>
    <t>2024-03-27T15:15:53.000Z</t>
  </si>
  <si>
    <t>KAS00079</t>
  </si>
  <si>
    <t>2024-02-24T09:50:20.000Z</t>
  </si>
  <si>
    <t>2024-03-11T06:53:05.000Z</t>
  </si>
  <si>
    <t>2024-02-26T02:56:44.000Z</t>
  </si>
  <si>
    <t>2024-03-22T09:04:22.000Z</t>
  </si>
  <si>
    <t>KAS00043</t>
  </si>
  <si>
    <t>2024-03-03T13:21:39.000Z</t>
  </si>
  <si>
    <t>2024-03-29T05:03:48.000Z</t>
  </si>
  <si>
    <t>KAS00075</t>
  </si>
  <si>
    <t>2024-03-05T13:01:32.000Z</t>
  </si>
  <si>
    <t>2024-03-09T04:18:41.000Z</t>
  </si>
  <si>
    <t>KEN00019</t>
  </si>
  <si>
    <t>2024-03-06T16:43:51.000Z</t>
  </si>
  <si>
    <t>2024-03-09T10:46:19.000Z</t>
  </si>
  <si>
    <t>KEN00004</t>
  </si>
  <si>
    <t>2024-03-14T03:13:46.000Z</t>
  </si>
  <si>
    <t>2024-03-14T07:45:21.000Z</t>
  </si>
  <si>
    <t>KEN00017</t>
  </si>
  <si>
    <t>2024-03-14T15:45:33.000Z</t>
  </si>
  <si>
    <t>2024-03-16T06:45:29.000Z</t>
  </si>
  <si>
    <t>2024-05-02T03:41:55.000Z</t>
  </si>
  <si>
    <t>2024-05-03T06:48:50.000Z</t>
  </si>
  <si>
    <t>2024-05-08T10:30:40.000Z</t>
  </si>
  <si>
    <t>2024-05-08T14:07:09.000Z</t>
  </si>
  <si>
    <t>2024-05-14T12:59:57.000Z</t>
  </si>
  <si>
    <t>2024-10-23T09:40:33.000Z</t>
  </si>
  <si>
    <t>2024-05-17T03:37:35.000Z</t>
  </si>
  <si>
    <t>2024-09-04T03:31:10.000Z</t>
  </si>
  <si>
    <t>2024-05-19T16:18:50.000Z</t>
  </si>
  <si>
    <t>2024-06-08T10:22:38.000Z</t>
  </si>
  <si>
    <t>2024-05-31T06:31:38.000Z</t>
  </si>
  <si>
    <t>2025-06-21T04:33:32.000Z</t>
  </si>
  <si>
    <t>K1i00092</t>
  </si>
  <si>
    <t>2024-06-08T10:48:25.000Z</t>
  </si>
  <si>
    <t>2024-06-10T09:36:26.000Z</t>
  </si>
  <si>
    <t>KAS00077</t>
  </si>
  <si>
    <t>2024-06-10T04:45:18.000Z</t>
  </si>
  <si>
    <t>2024-07-18T03:56:04.000Z</t>
  </si>
  <si>
    <t>K2i00029</t>
  </si>
  <si>
    <t>2024-08-24T12:19:06.000Z</t>
  </si>
  <si>
    <t>2024-08-26T10:43:58.000Z</t>
  </si>
  <si>
    <t>2024-08-26T11:57:57.000Z</t>
  </si>
  <si>
    <t>2025-06-10T10:28:23.000Z</t>
  </si>
  <si>
    <t>2024-09-23T07:18:20.000Z</t>
  </si>
  <si>
    <t>2024-12-13T08:50:17.000Z</t>
  </si>
  <si>
    <t>2024-10-03T06:53:51.000Z</t>
  </si>
  <si>
    <t>2024-10-05T17:13:32.000Z</t>
  </si>
  <si>
    <t>2025-01-08T03:52:14.000Z</t>
  </si>
  <si>
    <t>2025-07-11T07:11:15.000Z</t>
  </si>
  <si>
    <t>K2i00045</t>
  </si>
  <si>
    <t>2025-02-04T04:34:59.000Z</t>
  </si>
  <si>
    <t>2025-06-08T12:05:14.000Z</t>
  </si>
  <si>
    <t>2025-02-18T13:46:21.000Z</t>
  </si>
  <si>
    <t>2025-06-02T05:08:25.000Z</t>
  </si>
  <si>
    <t>2025-02-25T09:47:39.000Z</t>
  </si>
  <si>
    <t>2025-04-22T13:42:44.000Z</t>
  </si>
  <si>
    <t>KAS00020</t>
  </si>
  <si>
    <t>2025-04-18T11:41:32.000Z</t>
  </si>
  <si>
    <t>2025-07-01T05:03:39.000Z</t>
  </si>
  <si>
    <t>2025-05-22T05:24:44.000Z</t>
  </si>
  <si>
    <t>2026-01-20T05:35:47.000Z</t>
  </si>
  <si>
    <t>K1i00317</t>
  </si>
  <si>
    <t>2025-05-30T05:21:11.000Z</t>
  </si>
  <si>
    <t>2025-12-04T12:07:21.000Z</t>
  </si>
  <si>
    <t>2025-06-14T05:03:43.000Z</t>
  </si>
  <si>
    <t>2025-08-30T05:07:28.000Z</t>
  </si>
  <si>
    <t>2025-09-08T07:30:02.000Z</t>
  </si>
  <si>
    <t>2025-09-11T08:51:10.000Z</t>
  </si>
  <si>
    <t>2025-09-09T06:37:39.000Z</t>
  </si>
  <si>
    <t>2025-09-11T05:44:59.000Z</t>
  </si>
  <si>
    <t>2025-12-20T10:38:45.000Z</t>
  </si>
  <si>
    <t>2025-12-20T11:50:40.000Z</t>
  </si>
  <si>
    <t>2025-12-23T06:29:40.000Z</t>
  </si>
  <si>
    <t>2026-01-05T06:35:23.000Z</t>
  </si>
  <si>
    <t>2026-01-07T10:14:31.000Z</t>
  </si>
  <si>
    <t>2026-01-10T11:14:16.000Z</t>
  </si>
  <si>
    <t>2026-01-30T12:15:49.000Z</t>
  </si>
  <si>
    <t>2026-04-23T06:51:30.000Z</t>
  </si>
  <si>
    <t>2026-03-15T09:27:03.000Z</t>
  </si>
  <si>
    <t>2026-04-10T05:34:40.000Z</t>
  </si>
  <si>
    <t>2026-03-30T05:55:49.000Z</t>
  </si>
  <si>
    <t>2026-04-10T09:55:15.000Z</t>
  </si>
  <si>
    <t>KAS00095</t>
  </si>
  <si>
    <t>2023-08-08T12:25:47.000Z</t>
  </si>
  <si>
    <t>KEN00006</t>
  </si>
  <si>
    <t>2023-11-08T04:12:23.000Z</t>
  </si>
  <si>
    <t>KAS00048</t>
  </si>
  <si>
    <t>2023-08-24T10:41:25.000Z</t>
  </si>
  <si>
    <t>KAS00097</t>
  </si>
  <si>
    <t>2023-07-18T06:13:43.000Z</t>
  </si>
  <si>
    <t>KAS00066</t>
  </si>
  <si>
    <t>2023-07-04T17:28:36.000Z</t>
  </si>
  <si>
    <t>KAS00092</t>
  </si>
  <si>
    <t>2023-07-10T07:22:37.000Z</t>
  </si>
  <si>
    <t>KAS00045</t>
  </si>
  <si>
    <t>2023-08-26T07:40:35.000Z</t>
  </si>
  <si>
    <t>KEN00018</t>
  </si>
  <si>
    <t>2023-11-03T04:02:25.000Z</t>
  </si>
  <si>
    <t>KAS00026</t>
  </si>
  <si>
    <t>2023-12-09T05:38:45.000Z</t>
  </si>
  <si>
    <t>KAS00076</t>
  </si>
  <si>
    <t>2023-12-15T05:10:49.000Z</t>
  </si>
  <si>
    <t>KAS00089</t>
  </si>
  <si>
    <t>2023-12-18T11:11:08.000Z</t>
  </si>
  <si>
    <t>K1i00026</t>
  </si>
  <si>
    <t>2024-01-08T14:03:07.000Z</t>
  </si>
  <si>
    <t>KAS00024</t>
  </si>
  <si>
    <t>2024-02-07T12:40:28.000Z</t>
  </si>
  <si>
    <t>KAS00054</t>
  </si>
  <si>
    <t>2024-02-09T07:14:24.000Z</t>
  </si>
  <si>
    <t>KAS00036</t>
  </si>
  <si>
    <t>2024-02-09T08:12:29.000Z</t>
  </si>
  <si>
    <t>KASTEST3001</t>
  </si>
  <si>
    <t>2024-02-11T14:58:02.000Z</t>
  </si>
  <si>
    <t>KEN00010</t>
  </si>
  <si>
    <t>2024-02-16T11:00:17.000Z</t>
  </si>
  <si>
    <t>2024-02-22T16:43:03.000Z</t>
  </si>
  <si>
    <t>2024-03-01T02:13:01.000Z</t>
  </si>
  <si>
    <t>KEN00014</t>
  </si>
  <si>
    <t>2024-03-06T18:47:03.000Z</t>
  </si>
  <si>
    <t>KAS00078</t>
  </si>
  <si>
    <t>2024-03-07T04:49:42.000Z</t>
  </si>
  <si>
    <t>KAS00052</t>
  </si>
  <si>
    <t>2024-03-08T02:59:07.000Z</t>
  </si>
  <si>
    <t>KEN00008</t>
  </si>
  <si>
    <t>2024-03-08T11:48:39.000Z</t>
  </si>
  <si>
    <t>KAS00049</t>
  </si>
  <si>
    <t>2024-03-14T07:00:30.000Z</t>
  </si>
  <si>
    <t>2024-03-14T09:26:56.000Z</t>
  </si>
  <si>
    <t>KAS00058</t>
  </si>
  <si>
    <t>2024-03-15T08:31:30.000Z</t>
  </si>
  <si>
    <t>2024-03-21T10:59:05.000Z</t>
  </si>
  <si>
    <t>KAS00099</t>
  </si>
  <si>
    <t>2024-03-22T11:12:12.000Z</t>
  </si>
  <si>
    <t>2024-03-26T05:30:09.000Z</t>
  </si>
  <si>
    <t>KAS00069</t>
  </si>
  <si>
    <t>2024-03-27T15:43:11.000Z</t>
  </si>
  <si>
    <t>2024-04-17T17:25:49.000Z</t>
  </si>
  <si>
    <t>KAS00086</t>
  </si>
  <si>
    <t>2024-04-17T17:28:51.000Z</t>
  </si>
  <si>
    <t>KAS00039</t>
  </si>
  <si>
    <t>2024-05-06T06:52:57.000Z</t>
  </si>
  <si>
    <t>2024-05-19T16:20:34.000Z</t>
  </si>
  <si>
    <t>2024-05-27T11:51:54.000Z</t>
  </si>
  <si>
    <t>2024-07-17T10:39:33.000Z</t>
  </si>
  <si>
    <t>2024-07-17T12:39:17.000Z</t>
  </si>
  <si>
    <t>2024-07-27T12:03:21.000Z</t>
  </si>
  <si>
    <t>2024-07-30T09:36:22.000Z</t>
  </si>
  <si>
    <t>TEST_DRONE</t>
  </si>
  <si>
    <t>2024-08-10T05:27:18.000Z</t>
  </si>
  <si>
    <t>K2i00050</t>
  </si>
  <si>
    <t>2024-08-12T07:53:31.000Z</t>
  </si>
  <si>
    <t>2024-09-16T04:56:56.000Z</t>
  </si>
  <si>
    <t>K2i00046</t>
  </si>
  <si>
    <t>2024-09-28T06:38:50.000Z</t>
  </si>
  <si>
    <t>K2i00059</t>
  </si>
  <si>
    <t>2024-10-04T09:09:52.000Z</t>
  </si>
  <si>
    <t>K2i00051</t>
  </si>
  <si>
    <t>2024-10-14T07:14:11.000Z</t>
  </si>
  <si>
    <t>K1i00299</t>
  </si>
  <si>
    <t>2025-01-11T06:29:10.000Z</t>
  </si>
  <si>
    <t>K2i00055</t>
  </si>
  <si>
    <t>2025-02-24T03:49:13.000Z</t>
  </si>
  <si>
    <t>K1i00323</t>
  </si>
  <si>
    <t>2025-03-07T10:46:28.000Z</t>
  </si>
  <si>
    <t>K1i00321</t>
  </si>
  <si>
    <t>2025-03-12T06:17:57.000Z</t>
  </si>
  <si>
    <t>2025-04-21T10:22:32.000Z</t>
  </si>
  <si>
    <t>2025-05-08T07:20:19.000Z</t>
  </si>
  <si>
    <t>K2i00103</t>
  </si>
  <si>
    <t>2025-05-22T05:21:08.000Z</t>
  </si>
  <si>
    <t>2025-06-12T07:56:57.000Z</t>
  </si>
  <si>
    <t>K2i00090</t>
  </si>
  <si>
    <t>2025-07-10T06:31:46.000Z</t>
  </si>
  <si>
    <t>K2i00111</t>
  </si>
  <si>
    <t>2025-07-11T05:53:31.000Z</t>
  </si>
  <si>
    <t>K2i00118</t>
  </si>
  <si>
    <t>2025-07-11T05:54:50.000Z</t>
  </si>
  <si>
    <t>K2i00087</t>
  </si>
  <si>
    <t>2025-07-11T05:55:53.000Z</t>
  </si>
  <si>
    <t>K2i00142</t>
  </si>
  <si>
    <t>2025-07-11T05:57:04.000Z</t>
  </si>
  <si>
    <t>K2i00133</t>
  </si>
  <si>
    <t>2025-07-16T05:23:27.000Z</t>
  </si>
  <si>
    <t>2025-09-01T05:43:56.000Z</t>
  </si>
  <si>
    <t>2025-09-29T10:02:29.000Z</t>
  </si>
  <si>
    <t>2025-12-09T04:26:13.000Z</t>
  </si>
  <si>
    <t>K2i00128</t>
  </si>
  <si>
    <t>2025-12-26T11:58:26.000Z</t>
  </si>
  <si>
    <t>K2i00116</t>
  </si>
  <si>
    <t>2026-02-28T07:12:33.000Z</t>
  </si>
  <si>
    <t>2026-04-01T11:41:33.000Z</t>
  </si>
  <si>
    <t>2026-04-24T10:16:36.000Z</t>
  </si>
  <si>
    <t>2026-05-05T10:42:12.000Z</t>
  </si>
  <si>
    <t>Y</t>
  </si>
  <si>
    <t>N</t>
  </si>
  <si>
    <t>is_grounded</t>
  </si>
  <si>
    <t>last_flight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</si>
</sst>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/>
    </xf>
    <xf numFmtId="1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21" fontId="5" fillId="0" borderId="0" xfId="0" applyNumberFormat="1" applyFont="1"/>
    <xf numFmtId="46" fontId="5" fillId="0" borderId="0" xfId="0" applyNumberFormat="1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nak Devadiga" id="{74255E7A-B94D-40C6-8F8B-A2FB370E591A}" userId="S::ronak.devadiga@generalaeronautics.com::e7c9b899-d1cc-43ec-8aa2-b4e3bb4851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5-07T06:34:36.35" personId="{74255E7A-B94D-40C6-8F8B-A2FB370E591A}" id="{FC669703-9CAC-4A8B-A812-657A0F787DC6}">
    <text>Proxy for commissioning date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workbookViewId="0">
      <selection activeCell="B1" sqref="B1"/>
    </sheetView>
  </sheetViews>
  <sheetFormatPr defaultRowHeight="15" x14ac:dyDescent="0.25"/>
  <cols>
    <col min="1" max="1" width="50.5703125" bestFit="1" customWidth="1"/>
    <col min="2" max="2" width="13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36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53</v>
      </c>
    </row>
    <row r="30" spans="1:2" x14ac:dyDescent="0.25">
      <c r="A30" t="s">
        <v>55</v>
      </c>
      <c r="B30" t="s">
        <v>53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57</v>
      </c>
    </row>
    <row r="33" spans="1:2" x14ac:dyDescent="0.25">
      <c r="A33" t="s">
        <v>59</v>
      </c>
      <c r="B33" t="s">
        <v>57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63</v>
      </c>
    </row>
    <row r="37" spans="1:2" x14ac:dyDescent="0.25">
      <c r="A37" t="s">
        <v>65</v>
      </c>
      <c r="B37" t="s">
        <v>63</v>
      </c>
    </row>
    <row r="38" spans="1:2" x14ac:dyDescent="0.25">
      <c r="A38" t="s">
        <v>66</v>
      </c>
      <c r="B38" t="s">
        <v>63</v>
      </c>
    </row>
    <row r="39" spans="1:2" x14ac:dyDescent="0.25">
      <c r="A39" t="s">
        <v>67</v>
      </c>
      <c r="B39" t="s">
        <v>63</v>
      </c>
    </row>
    <row r="40" spans="1:2" x14ac:dyDescent="0.25">
      <c r="A40" t="s">
        <v>68</v>
      </c>
      <c r="B40" t="s">
        <v>63</v>
      </c>
    </row>
    <row r="41" spans="1:2" x14ac:dyDescent="0.25">
      <c r="A41" t="s">
        <v>69</v>
      </c>
      <c r="B41" t="s">
        <v>63</v>
      </c>
    </row>
    <row r="42" spans="1:2" x14ac:dyDescent="0.25">
      <c r="A42" t="s">
        <v>70</v>
      </c>
      <c r="B42" t="s">
        <v>63</v>
      </c>
    </row>
    <row r="43" spans="1:2" x14ac:dyDescent="0.25">
      <c r="A43" t="s">
        <v>71</v>
      </c>
      <c r="B43" t="s">
        <v>63</v>
      </c>
    </row>
    <row r="44" spans="1:2" x14ac:dyDescent="0.25">
      <c r="A44" t="s">
        <v>72</v>
      </c>
      <c r="B44" t="s">
        <v>63</v>
      </c>
    </row>
    <row r="45" spans="1:2" x14ac:dyDescent="0.25">
      <c r="A45" t="s">
        <v>73</v>
      </c>
      <c r="B45" t="s">
        <v>63</v>
      </c>
    </row>
    <row r="46" spans="1:2" x14ac:dyDescent="0.25">
      <c r="A46" t="s">
        <v>74</v>
      </c>
      <c r="B46" t="s">
        <v>63</v>
      </c>
    </row>
    <row r="47" spans="1:2" x14ac:dyDescent="0.25">
      <c r="A47" t="s">
        <v>75</v>
      </c>
      <c r="B47" t="s">
        <v>63</v>
      </c>
    </row>
    <row r="48" spans="1:2" x14ac:dyDescent="0.25">
      <c r="A48" t="s">
        <v>76</v>
      </c>
      <c r="B48" t="s">
        <v>77</v>
      </c>
    </row>
    <row r="49" spans="1:2" x14ac:dyDescent="0.25">
      <c r="A49" t="s">
        <v>78</v>
      </c>
      <c r="B49" t="s">
        <v>79</v>
      </c>
    </row>
    <row r="50" spans="1:2" x14ac:dyDescent="0.25">
      <c r="A50" t="s">
        <v>80</v>
      </c>
      <c r="B50" t="s">
        <v>81</v>
      </c>
    </row>
    <row r="51" spans="1:2" x14ac:dyDescent="0.25">
      <c r="A51" t="s">
        <v>82</v>
      </c>
      <c r="B51" t="s">
        <v>83</v>
      </c>
    </row>
    <row r="52" spans="1:2" x14ac:dyDescent="0.25">
      <c r="A52" t="s">
        <v>84</v>
      </c>
      <c r="B52" t="s">
        <v>85</v>
      </c>
    </row>
    <row r="53" spans="1:2" x14ac:dyDescent="0.25">
      <c r="A53" t="s">
        <v>86</v>
      </c>
      <c r="B53" t="s">
        <v>87</v>
      </c>
    </row>
    <row r="54" spans="1:2" x14ac:dyDescent="0.25">
      <c r="A54" t="s">
        <v>88</v>
      </c>
      <c r="B54" t="s">
        <v>89</v>
      </c>
    </row>
    <row r="55" spans="1:2" x14ac:dyDescent="0.25">
      <c r="A55" t="s">
        <v>90</v>
      </c>
      <c r="B55" t="s">
        <v>89</v>
      </c>
    </row>
    <row r="56" spans="1:2" x14ac:dyDescent="0.25">
      <c r="A56" t="s">
        <v>91</v>
      </c>
      <c r="B56" t="s">
        <v>92</v>
      </c>
    </row>
    <row r="57" spans="1:2" x14ac:dyDescent="0.25">
      <c r="A57" t="s">
        <v>93</v>
      </c>
      <c r="B57" t="s">
        <v>94</v>
      </c>
    </row>
    <row r="58" spans="1:2" x14ac:dyDescent="0.25">
      <c r="A58" t="s">
        <v>95</v>
      </c>
      <c r="B58" t="s">
        <v>96</v>
      </c>
    </row>
    <row r="59" spans="1:2" x14ac:dyDescent="0.25">
      <c r="A59" t="s">
        <v>97</v>
      </c>
      <c r="B59" t="s">
        <v>96</v>
      </c>
    </row>
    <row r="60" spans="1:2" x14ac:dyDescent="0.25">
      <c r="A60" t="s">
        <v>98</v>
      </c>
      <c r="B60" t="s">
        <v>99</v>
      </c>
    </row>
    <row r="61" spans="1:2" x14ac:dyDescent="0.25">
      <c r="A61" t="s">
        <v>100</v>
      </c>
      <c r="B61" t="s">
        <v>101</v>
      </c>
    </row>
    <row r="62" spans="1:2" x14ac:dyDescent="0.25">
      <c r="A62" t="s">
        <v>102</v>
      </c>
      <c r="B62" t="s">
        <v>103</v>
      </c>
    </row>
    <row r="63" spans="1:2" x14ac:dyDescent="0.25">
      <c r="A63" t="s">
        <v>104</v>
      </c>
      <c r="B63" t="s">
        <v>105</v>
      </c>
    </row>
    <row r="64" spans="1:2" x14ac:dyDescent="0.25">
      <c r="A64" t="s">
        <v>106</v>
      </c>
      <c r="B64" t="s">
        <v>105</v>
      </c>
    </row>
    <row r="65" spans="1:2" x14ac:dyDescent="0.25">
      <c r="A65" t="s">
        <v>107</v>
      </c>
      <c r="B65" t="s">
        <v>108</v>
      </c>
    </row>
    <row r="66" spans="1:2" x14ac:dyDescent="0.25">
      <c r="A66" t="s">
        <v>109</v>
      </c>
      <c r="B66" t="s">
        <v>110</v>
      </c>
    </row>
    <row r="67" spans="1:2" x14ac:dyDescent="0.25">
      <c r="A67" t="s">
        <v>111</v>
      </c>
      <c r="B67" t="s">
        <v>112</v>
      </c>
    </row>
    <row r="68" spans="1:2" x14ac:dyDescent="0.25">
      <c r="A68" t="s">
        <v>113</v>
      </c>
      <c r="B68" t="s">
        <v>112</v>
      </c>
    </row>
    <row r="69" spans="1:2" x14ac:dyDescent="0.25">
      <c r="A69" t="s">
        <v>114</v>
      </c>
      <c r="B69" t="s">
        <v>115</v>
      </c>
    </row>
    <row r="70" spans="1:2" x14ac:dyDescent="0.25">
      <c r="A70" t="s">
        <v>116</v>
      </c>
      <c r="B70" t="s">
        <v>117</v>
      </c>
    </row>
    <row r="71" spans="1:2" x14ac:dyDescent="0.25">
      <c r="A71" t="s">
        <v>118</v>
      </c>
      <c r="B71" t="s">
        <v>117</v>
      </c>
    </row>
    <row r="72" spans="1:2" x14ac:dyDescent="0.25">
      <c r="A72" t="s">
        <v>119</v>
      </c>
      <c r="B72" t="s">
        <v>120</v>
      </c>
    </row>
    <row r="73" spans="1:2" x14ac:dyDescent="0.25">
      <c r="A73" t="s">
        <v>121</v>
      </c>
      <c r="B73" t="s">
        <v>122</v>
      </c>
    </row>
    <row r="74" spans="1:2" x14ac:dyDescent="0.25">
      <c r="A74" t="s">
        <v>123</v>
      </c>
      <c r="B74" t="s">
        <v>124</v>
      </c>
    </row>
    <row r="75" spans="1:2" x14ac:dyDescent="0.25">
      <c r="A75" t="s">
        <v>125</v>
      </c>
      <c r="B75" t="s">
        <v>126</v>
      </c>
    </row>
    <row r="76" spans="1:2" x14ac:dyDescent="0.25">
      <c r="A76" t="s">
        <v>127</v>
      </c>
      <c r="B76" t="s">
        <v>128</v>
      </c>
    </row>
    <row r="77" spans="1:2" x14ac:dyDescent="0.25">
      <c r="A77" t="s">
        <v>129</v>
      </c>
      <c r="B77" t="s">
        <v>130</v>
      </c>
    </row>
    <row r="78" spans="1:2" x14ac:dyDescent="0.25">
      <c r="A78" t="s">
        <v>131</v>
      </c>
      <c r="B78" t="s">
        <v>132</v>
      </c>
    </row>
    <row r="79" spans="1:2" x14ac:dyDescent="0.25">
      <c r="A79" t="s">
        <v>133</v>
      </c>
      <c r="B79" t="s">
        <v>132</v>
      </c>
    </row>
    <row r="80" spans="1:2" x14ac:dyDescent="0.25">
      <c r="A80" t="s">
        <v>134</v>
      </c>
      <c r="B80" t="s">
        <v>132</v>
      </c>
    </row>
    <row r="81" spans="1:2" x14ac:dyDescent="0.25">
      <c r="A81" t="s">
        <v>135</v>
      </c>
      <c r="B81" t="s">
        <v>132</v>
      </c>
    </row>
    <row r="82" spans="1:2" x14ac:dyDescent="0.25">
      <c r="A82" t="s">
        <v>136</v>
      </c>
      <c r="B82" t="s">
        <v>137</v>
      </c>
    </row>
    <row r="83" spans="1:2" x14ac:dyDescent="0.25">
      <c r="A83" t="s">
        <v>138</v>
      </c>
      <c r="B83" t="s">
        <v>139</v>
      </c>
    </row>
    <row r="84" spans="1:2" x14ac:dyDescent="0.25">
      <c r="A84" t="s">
        <v>140</v>
      </c>
      <c r="B84" t="s">
        <v>141</v>
      </c>
    </row>
    <row r="85" spans="1:2" x14ac:dyDescent="0.25">
      <c r="A85" t="s">
        <v>142</v>
      </c>
      <c r="B85" t="s">
        <v>143</v>
      </c>
    </row>
    <row r="86" spans="1:2" x14ac:dyDescent="0.25">
      <c r="A86" t="s">
        <v>144</v>
      </c>
      <c r="B86" t="s">
        <v>145</v>
      </c>
    </row>
    <row r="87" spans="1:2" x14ac:dyDescent="0.25">
      <c r="A87" t="s">
        <v>146</v>
      </c>
      <c r="B87" t="s">
        <v>145</v>
      </c>
    </row>
    <row r="88" spans="1:2" x14ac:dyDescent="0.25">
      <c r="A88" t="s">
        <v>147</v>
      </c>
      <c r="B88" t="s">
        <v>145</v>
      </c>
    </row>
    <row r="89" spans="1:2" x14ac:dyDescent="0.25">
      <c r="A89" t="s">
        <v>148</v>
      </c>
      <c r="B89" t="s">
        <v>149</v>
      </c>
    </row>
    <row r="90" spans="1:2" x14ac:dyDescent="0.25">
      <c r="A90" t="s">
        <v>150</v>
      </c>
      <c r="B90" t="s">
        <v>151</v>
      </c>
    </row>
    <row r="91" spans="1:2" x14ac:dyDescent="0.25">
      <c r="A91" t="s">
        <v>152</v>
      </c>
      <c r="B91" t="s">
        <v>153</v>
      </c>
    </row>
    <row r="92" spans="1:2" x14ac:dyDescent="0.25">
      <c r="A92" t="s">
        <v>154</v>
      </c>
      <c r="B92" t="s">
        <v>155</v>
      </c>
    </row>
    <row r="93" spans="1:2" x14ac:dyDescent="0.25">
      <c r="A93" t="s">
        <v>156</v>
      </c>
      <c r="B93" t="s">
        <v>155</v>
      </c>
    </row>
    <row r="94" spans="1:2" x14ac:dyDescent="0.25">
      <c r="A94" t="s">
        <v>157</v>
      </c>
      <c r="B94" t="s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F510-1A20-4429-8BDA-95757F1DC62E}">
  <dimension ref="A1:E63"/>
  <sheetViews>
    <sheetView workbookViewId="0">
      <selection activeCell="B1" sqref="B1:E1"/>
    </sheetView>
  </sheetViews>
  <sheetFormatPr defaultRowHeight="15" x14ac:dyDescent="0.25"/>
  <sheetData>
    <row r="1" spans="1:5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</row>
    <row r="2" spans="1:5" x14ac:dyDescent="0.25">
      <c r="A2" t="s">
        <v>29</v>
      </c>
      <c r="B2">
        <v>5904</v>
      </c>
      <c r="C2" t="s">
        <v>164</v>
      </c>
      <c r="D2" t="s">
        <v>165</v>
      </c>
      <c r="E2" t="s">
        <v>166</v>
      </c>
    </row>
    <row r="3" spans="1:5" x14ac:dyDescent="0.25">
      <c r="A3" t="s">
        <v>35</v>
      </c>
      <c r="B3">
        <v>483</v>
      </c>
      <c r="C3" t="s">
        <v>167</v>
      </c>
      <c r="D3" t="s">
        <v>168</v>
      </c>
      <c r="E3" t="s">
        <v>169</v>
      </c>
    </row>
    <row r="4" spans="1:5" x14ac:dyDescent="0.25">
      <c r="A4" t="s">
        <v>11</v>
      </c>
      <c r="B4">
        <v>365</v>
      </c>
      <c r="C4" t="s">
        <v>170</v>
      </c>
      <c r="D4" t="s">
        <v>171</v>
      </c>
      <c r="E4" t="s">
        <v>172</v>
      </c>
    </row>
    <row r="5" spans="1:5" x14ac:dyDescent="0.25">
      <c r="A5" t="s">
        <v>76</v>
      </c>
      <c r="B5">
        <v>337</v>
      </c>
      <c r="C5" t="s">
        <v>173</v>
      </c>
      <c r="D5" t="s">
        <v>174</v>
      </c>
      <c r="E5" t="s">
        <v>175</v>
      </c>
    </row>
    <row r="6" spans="1:5" x14ac:dyDescent="0.25">
      <c r="A6" t="s">
        <v>5</v>
      </c>
      <c r="B6">
        <v>125</v>
      </c>
      <c r="C6" t="s">
        <v>176</v>
      </c>
      <c r="D6" t="s">
        <v>177</v>
      </c>
      <c r="E6" t="s">
        <v>178</v>
      </c>
    </row>
    <row r="7" spans="1:5" x14ac:dyDescent="0.25">
      <c r="A7" t="s">
        <v>125</v>
      </c>
      <c r="B7">
        <v>108</v>
      </c>
      <c r="C7" t="s">
        <v>179</v>
      </c>
      <c r="D7" t="s">
        <v>180</v>
      </c>
      <c r="E7" t="s">
        <v>166</v>
      </c>
    </row>
    <row r="8" spans="1:5" x14ac:dyDescent="0.25">
      <c r="A8" t="s">
        <v>2</v>
      </c>
      <c r="B8">
        <v>80</v>
      </c>
      <c r="C8" t="s">
        <v>181</v>
      </c>
      <c r="D8" t="s">
        <v>182</v>
      </c>
      <c r="E8" t="s">
        <v>183</v>
      </c>
    </row>
    <row r="9" spans="1:5" x14ac:dyDescent="0.25">
      <c r="A9" t="s">
        <v>23</v>
      </c>
      <c r="B9">
        <v>52</v>
      </c>
      <c r="C9" t="s">
        <v>176</v>
      </c>
      <c r="D9" t="s">
        <v>184</v>
      </c>
      <c r="E9" t="s">
        <v>185</v>
      </c>
    </row>
    <row r="10" spans="1:5" x14ac:dyDescent="0.25">
      <c r="A10" t="s">
        <v>9</v>
      </c>
      <c r="B10">
        <v>33</v>
      </c>
      <c r="C10" t="s">
        <v>186</v>
      </c>
      <c r="D10" t="s">
        <v>187</v>
      </c>
      <c r="E10" t="s">
        <v>188</v>
      </c>
    </row>
    <row r="11" spans="1:5" x14ac:dyDescent="0.25">
      <c r="A11" t="s">
        <v>38</v>
      </c>
      <c r="B11">
        <v>28</v>
      </c>
      <c r="C11" t="s">
        <v>189</v>
      </c>
      <c r="D11" t="s">
        <v>190</v>
      </c>
      <c r="E11" t="s">
        <v>191</v>
      </c>
    </row>
    <row r="12" spans="1:5" x14ac:dyDescent="0.25">
      <c r="A12" t="s">
        <v>90</v>
      </c>
      <c r="B12">
        <v>27</v>
      </c>
      <c r="C12" t="s">
        <v>189</v>
      </c>
      <c r="D12" t="s">
        <v>192</v>
      </c>
      <c r="E12" t="s">
        <v>193</v>
      </c>
    </row>
    <row r="13" spans="1:5" x14ac:dyDescent="0.25">
      <c r="A13" t="s">
        <v>31</v>
      </c>
      <c r="B13">
        <v>22</v>
      </c>
      <c r="C13" t="s">
        <v>194</v>
      </c>
      <c r="D13" t="s">
        <v>195</v>
      </c>
      <c r="E13" t="s">
        <v>196</v>
      </c>
    </row>
    <row r="14" spans="1:5" x14ac:dyDescent="0.25">
      <c r="A14" t="s">
        <v>197</v>
      </c>
      <c r="B14">
        <v>22</v>
      </c>
      <c r="C14" t="s">
        <v>198</v>
      </c>
      <c r="D14" t="s">
        <v>199</v>
      </c>
      <c r="E14" t="s">
        <v>200</v>
      </c>
    </row>
    <row r="15" spans="1:5" x14ac:dyDescent="0.25">
      <c r="A15" t="s">
        <v>201</v>
      </c>
      <c r="B15">
        <v>20</v>
      </c>
      <c r="C15" t="s">
        <v>202</v>
      </c>
      <c r="D15" t="s">
        <v>203</v>
      </c>
      <c r="E15" t="s">
        <v>155</v>
      </c>
    </row>
    <row r="16" spans="1:5" x14ac:dyDescent="0.25">
      <c r="A16" t="s">
        <v>58</v>
      </c>
      <c r="B16">
        <v>16</v>
      </c>
      <c r="C16" t="s">
        <v>204</v>
      </c>
      <c r="D16" t="s">
        <v>61</v>
      </c>
      <c r="E16" t="s">
        <v>205</v>
      </c>
    </row>
    <row r="17" spans="1:5" x14ac:dyDescent="0.25">
      <c r="A17" t="s">
        <v>59</v>
      </c>
      <c r="B17">
        <v>16</v>
      </c>
      <c r="C17" t="s">
        <v>176</v>
      </c>
      <c r="D17" t="s">
        <v>61</v>
      </c>
      <c r="E17" t="s">
        <v>206</v>
      </c>
    </row>
    <row r="18" spans="1:5" x14ac:dyDescent="0.25">
      <c r="A18" t="s">
        <v>48</v>
      </c>
      <c r="B18">
        <v>16</v>
      </c>
      <c r="C18" t="s">
        <v>198</v>
      </c>
      <c r="D18" t="s">
        <v>207</v>
      </c>
      <c r="E18" t="s">
        <v>208</v>
      </c>
    </row>
    <row r="19" spans="1:5" x14ac:dyDescent="0.25">
      <c r="A19" t="s">
        <v>56</v>
      </c>
      <c r="B19">
        <v>15</v>
      </c>
      <c r="C19" t="s">
        <v>176</v>
      </c>
      <c r="D19" t="s">
        <v>209</v>
      </c>
      <c r="E19" t="s">
        <v>210</v>
      </c>
    </row>
    <row r="20" spans="1:5" x14ac:dyDescent="0.25">
      <c r="A20" t="s">
        <v>211</v>
      </c>
      <c r="B20">
        <v>13</v>
      </c>
      <c r="C20" t="s">
        <v>176</v>
      </c>
      <c r="D20" t="s">
        <v>212</v>
      </c>
      <c r="E20" t="s">
        <v>213</v>
      </c>
    </row>
    <row r="21" spans="1:5" x14ac:dyDescent="0.25">
      <c r="A21" t="s">
        <v>214</v>
      </c>
      <c r="B21">
        <v>13</v>
      </c>
      <c r="C21" t="s">
        <v>189</v>
      </c>
      <c r="D21" t="s">
        <v>215</v>
      </c>
      <c r="E21" t="s">
        <v>216</v>
      </c>
    </row>
    <row r="22" spans="1:5" x14ac:dyDescent="0.25">
      <c r="A22" t="s">
        <v>7</v>
      </c>
      <c r="B22">
        <v>11</v>
      </c>
      <c r="C22" t="s">
        <v>186</v>
      </c>
      <c r="D22" t="s">
        <v>217</v>
      </c>
      <c r="E22" t="s">
        <v>218</v>
      </c>
    </row>
    <row r="23" spans="1:5" x14ac:dyDescent="0.25">
      <c r="A23" t="s">
        <v>27</v>
      </c>
      <c r="B23">
        <v>10</v>
      </c>
      <c r="C23" t="s">
        <v>198</v>
      </c>
      <c r="D23" t="s">
        <v>219</v>
      </c>
      <c r="E23" t="s">
        <v>220</v>
      </c>
    </row>
    <row r="24" spans="1:5" x14ac:dyDescent="0.25">
      <c r="A24" t="s">
        <v>157</v>
      </c>
      <c r="B24">
        <v>9</v>
      </c>
      <c r="C24" t="s">
        <v>221</v>
      </c>
      <c r="D24" t="s">
        <v>222</v>
      </c>
      <c r="E24" t="s">
        <v>223</v>
      </c>
    </row>
    <row r="25" spans="1:5" x14ac:dyDescent="0.25">
      <c r="A25" t="s">
        <v>64</v>
      </c>
      <c r="B25">
        <v>9</v>
      </c>
      <c r="C25" t="s">
        <v>176</v>
      </c>
      <c r="D25" t="s">
        <v>224</v>
      </c>
      <c r="E25" t="s">
        <v>225</v>
      </c>
    </row>
    <row r="26" spans="1:5" x14ac:dyDescent="0.25">
      <c r="A26" t="s">
        <v>129</v>
      </c>
      <c r="B26">
        <v>8</v>
      </c>
      <c r="C26" t="s">
        <v>186</v>
      </c>
      <c r="D26" t="s">
        <v>226</v>
      </c>
      <c r="E26" t="s">
        <v>227</v>
      </c>
    </row>
    <row r="27" spans="1:5" x14ac:dyDescent="0.25">
      <c r="A27" t="s">
        <v>88</v>
      </c>
      <c r="B27">
        <v>8</v>
      </c>
      <c r="C27" t="s">
        <v>202</v>
      </c>
      <c r="D27" t="s">
        <v>228</v>
      </c>
      <c r="E27" t="s">
        <v>229</v>
      </c>
    </row>
    <row r="28" spans="1:5" x14ac:dyDescent="0.25">
      <c r="A28" t="s">
        <v>33</v>
      </c>
      <c r="B28">
        <v>8</v>
      </c>
      <c r="C28" t="s">
        <v>198</v>
      </c>
      <c r="D28" t="s">
        <v>230</v>
      </c>
      <c r="E28" t="s">
        <v>231</v>
      </c>
    </row>
    <row r="29" spans="1:5" x14ac:dyDescent="0.25">
      <c r="A29" t="s">
        <v>136</v>
      </c>
      <c r="B29">
        <v>7</v>
      </c>
      <c r="C29" t="s">
        <v>186</v>
      </c>
      <c r="D29" t="s">
        <v>232</v>
      </c>
      <c r="E29" t="s">
        <v>233</v>
      </c>
    </row>
    <row r="30" spans="1:5" x14ac:dyDescent="0.25">
      <c r="A30" t="s">
        <v>46</v>
      </c>
      <c r="B30">
        <v>5</v>
      </c>
      <c r="C30" t="s">
        <v>198</v>
      </c>
      <c r="D30" t="s">
        <v>51</v>
      </c>
      <c r="E30" t="s">
        <v>234</v>
      </c>
    </row>
    <row r="31" spans="1:5" x14ac:dyDescent="0.25">
      <c r="A31" t="s">
        <v>50</v>
      </c>
      <c r="B31">
        <v>4</v>
      </c>
      <c r="C31" t="s">
        <v>198</v>
      </c>
      <c r="D31" t="s">
        <v>207</v>
      </c>
      <c r="E31" t="s">
        <v>235</v>
      </c>
    </row>
    <row r="32" spans="1:5" x14ac:dyDescent="0.25">
      <c r="A32" t="s">
        <v>236</v>
      </c>
      <c r="B32">
        <v>4</v>
      </c>
      <c r="C32" t="s">
        <v>202</v>
      </c>
      <c r="D32" t="s">
        <v>101</v>
      </c>
      <c r="E32" t="s">
        <v>237</v>
      </c>
    </row>
    <row r="33" spans="1:5" x14ac:dyDescent="0.25">
      <c r="A33" t="s">
        <v>238</v>
      </c>
      <c r="B33">
        <v>3</v>
      </c>
      <c r="C33" t="s">
        <v>198</v>
      </c>
      <c r="D33" t="s">
        <v>239</v>
      </c>
      <c r="E33" t="s">
        <v>240</v>
      </c>
    </row>
    <row r="34" spans="1:5" x14ac:dyDescent="0.25">
      <c r="A34" t="s">
        <v>241</v>
      </c>
      <c r="B34">
        <v>3</v>
      </c>
      <c r="C34" t="s">
        <v>198</v>
      </c>
      <c r="D34" t="s">
        <v>242</v>
      </c>
      <c r="E34" t="s">
        <v>243</v>
      </c>
    </row>
    <row r="35" spans="1:5" x14ac:dyDescent="0.25">
      <c r="A35" t="s">
        <v>135</v>
      </c>
      <c r="B35">
        <v>3</v>
      </c>
      <c r="C35" t="s">
        <v>186</v>
      </c>
      <c r="D35" t="s">
        <v>244</v>
      </c>
      <c r="E35" t="s">
        <v>245</v>
      </c>
    </row>
    <row r="36" spans="1:5" x14ac:dyDescent="0.25">
      <c r="A36" t="s">
        <v>146</v>
      </c>
      <c r="B36">
        <v>3</v>
      </c>
      <c r="C36" t="s">
        <v>186</v>
      </c>
      <c r="D36" t="s">
        <v>246</v>
      </c>
      <c r="E36" t="s">
        <v>247</v>
      </c>
    </row>
    <row r="37" spans="1:5" x14ac:dyDescent="0.25">
      <c r="A37" t="s">
        <v>248</v>
      </c>
      <c r="B37">
        <v>3</v>
      </c>
      <c r="C37" t="s">
        <v>198</v>
      </c>
      <c r="D37" t="s">
        <v>249</v>
      </c>
      <c r="E37" t="s">
        <v>250</v>
      </c>
    </row>
    <row r="38" spans="1:5" x14ac:dyDescent="0.25">
      <c r="A38" t="s">
        <v>251</v>
      </c>
      <c r="B38">
        <v>3</v>
      </c>
      <c r="C38" t="s">
        <v>198</v>
      </c>
      <c r="D38" t="s">
        <v>213</v>
      </c>
      <c r="E38" t="s">
        <v>252</v>
      </c>
    </row>
    <row r="39" spans="1:5" x14ac:dyDescent="0.25">
      <c r="A39" t="s">
        <v>131</v>
      </c>
      <c r="B39">
        <v>3</v>
      </c>
      <c r="C39" t="s">
        <v>198</v>
      </c>
      <c r="D39" t="s">
        <v>253</v>
      </c>
      <c r="E39" t="s">
        <v>254</v>
      </c>
    </row>
    <row r="40" spans="1:5" x14ac:dyDescent="0.25">
      <c r="A40" t="s">
        <v>113</v>
      </c>
      <c r="B40">
        <v>2</v>
      </c>
      <c r="C40" t="s">
        <v>221</v>
      </c>
      <c r="D40" t="s">
        <v>255</v>
      </c>
      <c r="E40" t="s">
        <v>255</v>
      </c>
    </row>
    <row r="41" spans="1:5" x14ac:dyDescent="0.25">
      <c r="A41" t="s">
        <v>150</v>
      </c>
      <c r="B41">
        <v>2</v>
      </c>
      <c r="C41" t="s">
        <v>186</v>
      </c>
      <c r="D41" t="s">
        <v>232</v>
      </c>
      <c r="E41" t="s">
        <v>256</v>
      </c>
    </row>
    <row r="42" spans="1:5" x14ac:dyDescent="0.25">
      <c r="A42" t="s">
        <v>44</v>
      </c>
      <c r="B42">
        <v>2</v>
      </c>
      <c r="C42" t="s">
        <v>198</v>
      </c>
      <c r="D42" t="s">
        <v>257</v>
      </c>
      <c r="E42" t="s">
        <v>258</v>
      </c>
    </row>
    <row r="43" spans="1:5" x14ac:dyDescent="0.25">
      <c r="A43" t="s">
        <v>127</v>
      </c>
      <c r="B43">
        <v>2</v>
      </c>
      <c r="C43" t="s">
        <v>221</v>
      </c>
      <c r="D43" t="s">
        <v>259</v>
      </c>
      <c r="E43" t="s">
        <v>260</v>
      </c>
    </row>
    <row r="44" spans="1:5" x14ac:dyDescent="0.25">
      <c r="A44" t="s">
        <v>106</v>
      </c>
      <c r="B44">
        <v>2</v>
      </c>
      <c r="C44" t="s">
        <v>186</v>
      </c>
      <c r="D44" t="s">
        <v>261</v>
      </c>
      <c r="E44" t="s">
        <v>262</v>
      </c>
    </row>
    <row r="45" spans="1:5" x14ac:dyDescent="0.25">
      <c r="A45" t="s">
        <v>263</v>
      </c>
      <c r="B45">
        <v>2</v>
      </c>
      <c r="C45" t="s">
        <v>198</v>
      </c>
      <c r="D45" t="s">
        <v>264</v>
      </c>
      <c r="E45" t="s">
        <v>247</v>
      </c>
    </row>
    <row r="46" spans="1:5" x14ac:dyDescent="0.25">
      <c r="A46" t="s">
        <v>66</v>
      </c>
      <c r="B46">
        <v>2</v>
      </c>
      <c r="C46" t="s">
        <v>198</v>
      </c>
      <c r="D46" t="s">
        <v>265</v>
      </c>
      <c r="E46" t="s">
        <v>266</v>
      </c>
    </row>
    <row r="47" spans="1:5" x14ac:dyDescent="0.25">
      <c r="A47" t="s">
        <v>267</v>
      </c>
      <c r="B47">
        <v>2</v>
      </c>
      <c r="C47" t="s">
        <v>198</v>
      </c>
      <c r="D47" t="s">
        <v>268</v>
      </c>
      <c r="E47" t="s">
        <v>269</v>
      </c>
    </row>
    <row r="48" spans="1:5" x14ac:dyDescent="0.25">
      <c r="A48" t="s">
        <v>270</v>
      </c>
      <c r="B48">
        <v>2</v>
      </c>
      <c r="C48" t="s">
        <v>221</v>
      </c>
      <c r="D48" t="s">
        <v>271</v>
      </c>
      <c r="E48" t="s">
        <v>272</v>
      </c>
    </row>
    <row r="49" spans="1:5" x14ac:dyDescent="0.25">
      <c r="A49" t="s">
        <v>17</v>
      </c>
      <c r="B49">
        <v>1</v>
      </c>
      <c r="C49" t="s">
        <v>198</v>
      </c>
      <c r="D49" t="s">
        <v>273</v>
      </c>
      <c r="E49" t="s">
        <v>273</v>
      </c>
    </row>
    <row r="50" spans="1:5" x14ac:dyDescent="0.25">
      <c r="A50" t="s">
        <v>70</v>
      </c>
      <c r="B50">
        <v>1</v>
      </c>
      <c r="C50" t="s">
        <v>198</v>
      </c>
      <c r="D50" t="s">
        <v>242</v>
      </c>
      <c r="E50" t="s">
        <v>242</v>
      </c>
    </row>
    <row r="51" spans="1:5" x14ac:dyDescent="0.25">
      <c r="A51" t="s">
        <v>274</v>
      </c>
      <c r="B51">
        <v>1</v>
      </c>
      <c r="C51" t="s">
        <v>198</v>
      </c>
      <c r="D51" t="s">
        <v>269</v>
      </c>
      <c r="E51" t="s">
        <v>269</v>
      </c>
    </row>
    <row r="52" spans="1:5" x14ac:dyDescent="0.25">
      <c r="A52" t="s">
        <v>65</v>
      </c>
      <c r="B52">
        <v>1</v>
      </c>
      <c r="C52" t="s">
        <v>198</v>
      </c>
      <c r="D52" t="s">
        <v>269</v>
      </c>
      <c r="E52" t="s">
        <v>269</v>
      </c>
    </row>
    <row r="53" spans="1:5" x14ac:dyDescent="0.25">
      <c r="A53" t="s">
        <v>275</v>
      </c>
      <c r="B53">
        <v>1</v>
      </c>
      <c r="C53" t="s">
        <v>198</v>
      </c>
      <c r="D53" t="s">
        <v>276</v>
      </c>
      <c r="E53" t="s">
        <v>276</v>
      </c>
    </row>
    <row r="54" spans="1:5" x14ac:dyDescent="0.25">
      <c r="A54" t="s">
        <v>277</v>
      </c>
      <c r="B54">
        <v>1</v>
      </c>
      <c r="C54" t="s">
        <v>198</v>
      </c>
      <c r="D54" t="s">
        <v>278</v>
      </c>
      <c r="E54" t="s">
        <v>278</v>
      </c>
    </row>
    <row r="55" spans="1:5" x14ac:dyDescent="0.25">
      <c r="A55" t="s">
        <v>279</v>
      </c>
      <c r="B55">
        <v>1</v>
      </c>
      <c r="C55" t="s">
        <v>198</v>
      </c>
      <c r="D55" t="s">
        <v>272</v>
      </c>
      <c r="E55" t="s">
        <v>272</v>
      </c>
    </row>
    <row r="56" spans="1:5" x14ac:dyDescent="0.25">
      <c r="A56" t="s">
        <v>25</v>
      </c>
      <c r="B56">
        <v>1</v>
      </c>
      <c r="C56" t="s">
        <v>198</v>
      </c>
      <c r="D56" t="s">
        <v>280</v>
      </c>
      <c r="E56" t="s">
        <v>280</v>
      </c>
    </row>
    <row r="57" spans="1:5" x14ac:dyDescent="0.25">
      <c r="A57" t="s">
        <v>281</v>
      </c>
      <c r="B57">
        <v>1</v>
      </c>
      <c r="C57" t="s">
        <v>186</v>
      </c>
      <c r="D57" t="s">
        <v>282</v>
      </c>
      <c r="E57" t="s">
        <v>282</v>
      </c>
    </row>
    <row r="58" spans="1:5" x14ac:dyDescent="0.25">
      <c r="A58" t="s">
        <v>283</v>
      </c>
      <c r="B58">
        <v>1</v>
      </c>
      <c r="C58" t="s">
        <v>198</v>
      </c>
      <c r="D58" t="s">
        <v>284</v>
      </c>
      <c r="E58" t="s">
        <v>284</v>
      </c>
    </row>
    <row r="59" spans="1:5" x14ac:dyDescent="0.25">
      <c r="A59" t="s">
        <v>119</v>
      </c>
      <c r="B59">
        <v>1</v>
      </c>
      <c r="C59" t="s">
        <v>198</v>
      </c>
      <c r="D59" t="s">
        <v>285</v>
      </c>
      <c r="E59" t="s">
        <v>285</v>
      </c>
    </row>
    <row r="60" spans="1:5" x14ac:dyDescent="0.25">
      <c r="A60" t="s">
        <v>286</v>
      </c>
      <c r="B60">
        <v>1</v>
      </c>
      <c r="C60" t="s">
        <v>198</v>
      </c>
      <c r="D60" t="s">
        <v>287</v>
      </c>
      <c r="E60" t="s">
        <v>287</v>
      </c>
    </row>
    <row r="61" spans="1:5" x14ac:dyDescent="0.25">
      <c r="A61" t="s">
        <v>288</v>
      </c>
      <c r="B61">
        <v>1</v>
      </c>
      <c r="C61" t="s">
        <v>198</v>
      </c>
      <c r="D61" t="s">
        <v>168</v>
      </c>
      <c r="E61" t="s">
        <v>168</v>
      </c>
    </row>
    <row r="62" spans="1:5" x14ac:dyDescent="0.25">
      <c r="A62" t="s">
        <v>37</v>
      </c>
      <c r="B62">
        <v>1</v>
      </c>
      <c r="C62" t="s">
        <v>198</v>
      </c>
      <c r="D62" t="s">
        <v>289</v>
      </c>
      <c r="E62" t="s">
        <v>289</v>
      </c>
    </row>
    <row r="63" spans="1:5" x14ac:dyDescent="0.25">
      <c r="A63" t="s">
        <v>290</v>
      </c>
      <c r="B63">
        <v>1</v>
      </c>
      <c r="C63" t="s">
        <v>198</v>
      </c>
      <c r="D63" t="s">
        <v>291</v>
      </c>
      <c r="E63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9DBA-71D9-42E6-9128-BAE9B7D0E543}">
  <dimension ref="A1:P447"/>
  <sheetViews>
    <sheetView tabSelected="1" topLeftCell="D1" workbookViewId="0">
      <pane ySplit="1" topLeftCell="A414" activePane="bottomLeft" state="frozen"/>
      <selection pane="bottomLeft" activeCell="P1" sqref="P1"/>
    </sheetView>
  </sheetViews>
  <sheetFormatPr defaultRowHeight="15" x14ac:dyDescent="0.25"/>
  <cols>
    <col min="1" max="1" width="14.42578125" bestFit="1" customWidth="1"/>
    <col min="2" max="2" width="17.5703125" bestFit="1" customWidth="1"/>
    <col min="3" max="3" width="50.5703125" bestFit="1" customWidth="1"/>
    <col min="4" max="4" width="27.42578125" bestFit="1" customWidth="1"/>
    <col min="5" max="5" width="14.7109375" bestFit="1" customWidth="1"/>
    <col min="6" max="6" width="16" bestFit="1" customWidth="1"/>
    <col min="7" max="7" width="16" customWidth="1"/>
    <col min="8" max="8" width="24.28515625" bestFit="1" customWidth="1"/>
    <col min="9" max="9" width="24.140625" bestFit="1" customWidth="1"/>
    <col min="10" max="10" width="17.5703125" bestFit="1" customWidth="1"/>
    <col min="11" max="11" width="20.28515625" bestFit="1" customWidth="1"/>
    <col min="12" max="13" width="25.140625" bestFit="1" customWidth="1"/>
    <col min="14" max="14" width="17.7109375" bestFit="1" customWidth="1"/>
    <col min="15" max="15" width="11.140625" bestFit="1" customWidth="1"/>
    <col min="16" max="16" width="10.42578125" bestFit="1" customWidth="1"/>
  </cols>
  <sheetData>
    <row r="1" spans="1:16" s="2" customFormat="1" x14ac:dyDescent="0.25">
      <c r="A1" s="8" t="s">
        <v>292</v>
      </c>
      <c r="B1" s="8" t="s">
        <v>293</v>
      </c>
      <c r="C1" s="8" t="s">
        <v>294</v>
      </c>
      <c r="D1" s="8" t="s">
        <v>295</v>
      </c>
      <c r="E1" s="8" t="s">
        <v>296</v>
      </c>
      <c r="F1" s="8" t="s">
        <v>297</v>
      </c>
      <c r="G1" s="8" t="s">
        <v>298</v>
      </c>
      <c r="H1" s="8" t="s">
        <v>299</v>
      </c>
      <c r="I1" s="9" t="s">
        <v>300</v>
      </c>
      <c r="J1" s="9" t="s">
        <v>160</v>
      </c>
      <c r="K1" s="9" t="s">
        <v>161</v>
      </c>
      <c r="L1" s="9" t="s">
        <v>162</v>
      </c>
      <c r="M1" s="9" t="s">
        <v>163</v>
      </c>
      <c r="N1" s="8" t="s">
        <v>301</v>
      </c>
      <c r="O1" s="10" t="s">
        <v>1951</v>
      </c>
      <c r="P1" s="10" t="s">
        <v>1952</v>
      </c>
    </row>
    <row r="2" spans="1:16" x14ac:dyDescent="0.25">
      <c r="A2" s="10" t="s">
        <v>302</v>
      </c>
      <c r="B2" s="10" t="s">
        <v>303</v>
      </c>
      <c r="C2" s="10" t="s">
        <v>23</v>
      </c>
      <c r="D2" s="10" t="s">
        <v>304</v>
      </c>
      <c r="E2" s="10">
        <v>8658282605</v>
      </c>
      <c r="F2" s="11">
        <v>0.44048611111111113</v>
      </c>
      <c r="G2" s="10">
        <v>634.29999999999995</v>
      </c>
      <c r="H2" s="10">
        <v>6.76</v>
      </c>
      <c r="I2" s="12">
        <v>84.293958333333336</v>
      </c>
      <c r="J2" s="10">
        <v>12</v>
      </c>
      <c r="K2" s="10">
        <v>0</v>
      </c>
      <c r="L2" s="10" t="s">
        <v>1281</v>
      </c>
      <c r="M2" s="10" t="s">
        <v>1282</v>
      </c>
      <c r="N2" s="10">
        <v>91</v>
      </c>
      <c r="O2" s="10" t="s">
        <v>1950</v>
      </c>
      <c r="P2" s="13">
        <v>45869</v>
      </c>
    </row>
    <row r="3" spans="1:16" x14ac:dyDescent="0.25">
      <c r="A3" s="10" t="s">
        <v>305</v>
      </c>
      <c r="B3" s="10" t="s">
        <v>303</v>
      </c>
      <c r="C3" s="10" t="s">
        <v>38</v>
      </c>
      <c r="D3" s="10" t="s">
        <v>306</v>
      </c>
      <c r="E3" s="10">
        <v>9545553749</v>
      </c>
      <c r="F3" s="11">
        <v>0.25518518518518518</v>
      </c>
      <c r="G3" s="10">
        <v>367.47</v>
      </c>
      <c r="H3" s="10">
        <v>11.53</v>
      </c>
      <c r="I3" s="12">
        <v>84.334780092592595</v>
      </c>
      <c r="J3" s="10">
        <v>20</v>
      </c>
      <c r="K3" s="10">
        <v>4</v>
      </c>
      <c r="L3" s="10" t="s">
        <v>1112</v>
      </c>
      <c r="M3" s="10" t="s">
        <v>1113</v>
      </c>
      <c r="N3" s="10">
        <v>142</v>
      </c>
      <c r="O3" s="10" t="s">
        <v>1949</v>
      </c>
      <c r="P3" s="13">
        <v>45716</v>
      </c>
    </row>
    <row r="4" spans="1:16" x14ac:dyDescent="0.25">
      <c r="A4" s="10" t="s">
        <v>307</v>
      </c>
      <c r="B4" s="10" t="s">
        <v>303</v>
      </c>
      <c r="C4" s="10" t="s">
        <v>15</v>
      </c>
      <c r="D4" s="10" t="s">
        <v>308</v>
      </c>
      <c r="E4" s="10">
        <v>9988779988</v>
      </c>
      <c r="F4" s="10" t="s">
        <v>309</v>
      </c>
      <c r="G4" s="10"/>
      <c r="H4" s="10">
        <v>0</v>
      </c>
      <c r="I4" s="12">
        <v>84.292488425925924</v>
      </c>
      <c r="J4" s="10">
        <v>1</v>
      </c>
      <c r="K4" s="10">
        <v>0</v>
      </c>
      <c r="L4" s="10" t="s">
        <v>1889</v>
      </c>
      <c r="M4" s="10" t="s">
        <v>1889</v>
      </c>
      <c r="N4" s="10">
        <v>440</v>
      </c>
      <c r="O4" s="10" t="s">
        <v>1950</v>
      </c>
      <c r="P4" s="10"/>
    </row>
    <row r="5" spans="1:16" x14ac:dyDescent="0.25">
      <c r="A5" s="10" t="s">
        <v>310</v>
      </c>
      <c r="B5" s="10" t="s">
        <v>311</v>
      </c>
      <c r="C5" s="10" t="s">
        <v>29</v>
      </c>
      <c r="D5" s="10" t="s">
        <v>312</v>
      </c>
      <c r="E5" s="10">
        <v>9820914808</v>
      </c>
      <c r="F5" s="11">
        <v>0.23568287037037036</v>
      </c>
      <c r="G5" s="10">
        <v>339.38</v>
      </c>
      <c r="H5" s="10">
        <v>7.31</v>
      </c>
      <c r="I5" s="12">
        <v>84.29965277777778</v>
      </c>
      <c r="J5" s="10"/>
      <c r="K5" s="10"/>
      <c r="L5" s="10"/>
      <c r="M5" s="10"/>
      <c r="N5" s="10"/>
      <c r="O5" s="10" t="s">
        <v>1950</v>
      </c>
      <c r="P5" s="13">
        <v>45862</v>
      </c>
    </row>
    <row r="6" spans="1:16" x14ac:dyDescent="0.25">
      <c r="A6" s="10" t="s">
        <v>313</v>
      </c>
      <c r="B6" s="10" t="s">
        <v>303</v>
      </c>
      <c r="C6" s="10" t="s">
        <v>13</v>
      </c>
      <c r="D6" s="10" t="s">
        <v>314</v>
      </c>
      <c r="E6" s="10">
        <v>9999338032</v>
      </c>
      <c r="F6" s="11">
        <v>1.8229166666666668E-2</v>
      </c>
      <c r="G6" s="10">
        <v>26.25</v>
      </c>
      <c r="H6" s="10">
        <v>0</v>
      </c>
      <c r="I6" s="12">
        <v>84.292418981481475</v>
      </c>
      <c r="J6" s="10">
        <v>2</v>
      </c>
      <c r="K6" s="10">
        <v>0</v>
      </c>
      <c r="L6" s="10" t="s">
        <v>1742</v>
      </c>
      <c r="M6" s="10" t="s">
        <v>1743</v>
      </c>
      <c r="N6" s="10">
        <v>239</v>
      </c>
      <c r="O6" s="10" t="s">
        <v>1950</v>
      </c>
      <c r="P6" s="13">
        <v>45650</v>
      </c>
    </row>
    <row r="7" spans="1:16" x14ac:dyDescent="0.25">
      <c r="A7" s="10" t="s">
        <v>315</v>
      </c>
      <c r="B7" s="10" t="s">
        <v>303</v>
      </c>
      <c r="C7" s="10" t="s">
        <v>5</v>
      </c>
      <c r="D7" s="10" t="s">
        <v>316</v>
      </c>
      <c r="E7" s="10">
        <v>9900546939</v>
      </c>
      <c r="F7" s="11">
        <v>2.3472222222222221E-2</v>
      </c>
      <c r="G7" s="10">
        <v>33.799999999999997</v>
      </c>
      <c r="H7" s="10">
        <v>0</v>
      </c>
      <c r="I7" s="12">
        <v>84.25503472222222</v>
      </c>
      <c r="J7" s="10">
        <v>3</v>
      </c>
      <c r="K7" s="10">
        <v>0</v>
      </c>
      <c r="L7" s="10" t="s">
        <v>1701</v>
      </c>
      <c r="M7" s="10" t="s">
        <v>1702</v>
      </c>
      <c r="N7" s="10">
        <v>603</v>
      </c>
      <c r="O7" s="10" t="s">
        <v>1950</v>
      </c>
      <c r="P7" s="13">
        <v>45612</v>
      </c>
    </row>
    <row r="8" spans="1:16" x14ac:dyDescent="0.25">
      <c r="A8" s="10" t="s">
        <v>317</v>
      </c>
      <c r="B8" s="10" t="s">
        <v>303</v>
      </c>
      <c r="C8" s="10" t="s">
        <v>5</v>
      </c>
      <c r="D8" s="10" t="s">
        <v>316</v>
      </c>
      <c r="E8" s="10">
        <v>9900546939</v>
      </c>
      <c r="F8" s="11">
        <v>1.9085648148148147E-2</v>
      </c>
      <c r="G8" s="10">
        <v>27.48</v>
      </c>
      <c r="H8" s="10">
        <v>0</v>
      </c>
      <c r="I8" s="12">
        <v>84.25503472222222</v>
      </c>
      <c r="J8" s="10">
        <v>11</v>
      </c>
      <c r="K8" s="10">
        <v>0</v>
      </c>
      <c r="L8" s="10" t="s">
        <v>1303</v>
      </c>
      <c r="M8" s="10" t="s">
        <v>1304</v>
      </c>
      <c r="N8" s="10">
        <v>589</v>
      </c>
      <c r="O8" s="10" t="s">
        <v>1950</v>
      </c>
      <c r="P8" s="13">
        <v>45574</v>
      </c>
    </row>
    <row r="9" spans="1:16" x14ac:dyDescent="0.25">
      <c r="A9" s="10" t="s">
        <v>318</v>
      </c>
      <c r="B9" s="10" t="s">
        <v>303</v>
      </c>
      <c r="C9" s="10" t="s">
        <v>13</v>
      </c>
      <c r="D9" s="10" t="s">
        <v>314</v>
      </c>
      <c r="E9" s="10">
        <v>9999338032</v>
      </c>
      <c r="F9" s="11">
        <v>5.0497685185185187E-2</v>
      </c>
      <c r="G9" s="10">
        <v>72.72</v>
      </c>
      <c r="H9" s="10">
        <v>0</v>
      </c>
      <c r="I9" s="12">
        <v>84.292418981481475</v>
      </c>
      <c r="J9" s="10">
        <v>1</v>
      </c>
      <c r="K9" s="10">
        <v>0</v>
      </c>
      <c r="L9" s="10" t="s">
        <v>1883</v>
      </c>
      <c r="M9" s="10" t="s">
        <v>1883</v>
      </c>
      <c r="N9" s="10">
        <v>434</v>
      </c>
      <c r="O9" s="10" t="s">
        <v>1950</v>
      </c>
      <c r="P9" s="13">
        <v>45640</v>
      </c>
    </row>
    <row r="10" spans="1:16" x14ac:dyDescent="0.25">
      <c r="A10" s="10" t="s">
        <v>319</v>
      </c>
      <c r="B10" s="10" t="s">
        <v>303</v>
      </c>
      <c r="C10" s="10" t="s">
        <v>13</v>
      </c>
      <c r="D10" s="10" t="s">
        <v>314</v>
      </c>
      <c r="E10" s="10">
        <v>9999338032</v>
      </c>
      <c r="F10" s="10" t="s">
        <v>309</v>
      </c>
      <c r="G10" s="10"/>
      <c r="H10" s="10">
        <v>0</v>
      </c>
      <c r="I10" s="12">
        <v>84.292418981481475</v>
      </c>
      <c r="J10" s="10">
        <v>2</v>
      </c>
      <c r="K10" s="10">
        <v>0</v>
      </c>
      <c r="L10" s="10" t="s">
        <v>1750</v>
      </c>
      <c r="M10" s="10" t="s">
        <v>1751</v>
      </c>
      <c r="N10" s="10">
        <v>349</v>
      </c>
      <c r="O10" s="10" t="s">
        <v>1950</v>
      </c>
      <c r="P10" s="10"/>
    </row>
    <row r="11" spans="1:16" x14ac:dyDescent="0.25">
      <c r="A11" s="10" t="s">
        <v>320</v>
      </c>
      <c r="B11" s="10" t="s">
        <v>303</v>
      </c>
      <c r="C11" s="10" t="s">
        <v>5</v>
      </c>
      <c r="D11" s="10" t="s">
        <v>316</v>
      </c>
      <c r="E11" s="10">
        <v>9900546939</v>
      </c>
      <c r="F11" s="11">
        <v>3.5370370370370371E-2</v>
      </c>
      <c r="G11" s="10">
        <v>50.93</v>
      </c>
      <c r="H11" s="10">
        <v>0</v>
      </c>
      <c r="I11" s="12">
        <v>84.25503472222222</v>
      </c>
      <c r="J11" s="10">
        <v>3</v>
      </c>
      <c r="K11" s="10">
        <v>0</v>
      </c>
      <c r="L11" s="10" t="s">
        <v>1648</v>
      </c>
      <c r="M11" s="10" t="s">
        <v>1649</v>
      </c>
      <c r="N11" s="10">
        <v>351</v>
      </c>
      <c r="O11" s="10" t="s">
        <v>1950</v>
      </c>
      <c r="P11" s="13">
        <v>45631</v>
      </c>
    </row>
    <row r="12" spans="1:16" x14ac:dyDescent="0.25">
      <c r="A12" s="10" t="s">
        <v>321</v>
      </c>
      <c r="B12" s="10" t="s">
        <v>303</v>
      </c>
      <c r="C12" s="10" t="s">
        <v>13</v>
      </c>
      <c r="D12" s="10" t="s">
        <v>314</v>
      </c>
      <c r="E12" s="10">
        <v>9999338032</v>
      </c>
      <c r="F12" s="11">
        <v>6.898148148148148E-3</v>
      </c>
      <c r="G12" s="10">
        <v>9.93</v>
      </c>
      <c r="H12" s="10">
        <v>0</v>
      </c>
      <c r="I12" s="12">
        <v>84.292418981481475</v>
      </c>
      <c r="J12" s="10">
        <v>1</v>
      </c>
      <c r="K12" s="10">
        <v>0</v>
      </c>
      <c r="L12" s="10" t="s">
        <v>1886</v>
      </c>
      <c r="M12" s="10" t="s">
        <v>1886</v>
      </c>
      <c r="N12" s="10">
        <v>441</v>
      </c>
      <c r="O12" s="10" t="s">
        <v>1950</v>
      </c>
      <c r="P12" s="13">
        <v>45649</v>
      </c>
    </row>
    <row r="13" spans="1:16" x14ac:dyDescent="0.25">
      <c r="A13" s="10" t="s">
        <v>322</v>
      </c>
      <c r="B13" s="10" t="s">
        <v>303</v>
      </c>
      <c r="C13" s="10" t="s">
        <v>13</v>
      </c>
      <c r="D13" s="10" t="s">
        <v>314</v>
      </c>
      <c r="E13" s="10">
        <v>9999338032</v>
      </c>
      <c r="F13" s="10" t="s">
        <v>309</v>
      </c>
      <c r="G13" s="10"/>
      <c r="H13" s="10">
        <v>0</v>
      </c>
      <c r="I13" s="12">
        <v>84.292418981481475</v>
      </c>
      <c r="J13" s="10">
        <v>3</v>
      </c>
      <c r="K13" s="10">
        <v>0</v>
      </c>
      <c r="L13" s="10" t="s">
        <v>1670</v>
      </c>
      <c r="M13" s="10" t="s">
        <v>1671</v>
      </c>
      <c r="N13" s="10">
        <v>349</v>
      </c>
      <c r="O13" s="10" t="s">
        <v>1950</v>
      </c>
      <c r="P13" s="10"/>
    </row>
    <row r="14" spans="1:16" x14ac:dyDescent="0.25">
      <c r="A14" s="10" t="s">
        <v>323</v>
      </c>
      <c r="B14" s="10" t="s">
        <v>303</v>
      </c>
      <c r="C14" s="10" t="s">
        <v>21</v>
      </c>
      <c r="D14" s="10" t="s">
        <v>324</v>
      </c>
      <c r="E14" s="10">
        <v>9785675456</v>
      </c>
      <c r="F14" s="11">
        <v>0.13390046296296296</v>
      </c>
      <c r="G14" s="10">
        <v>192.82</v>
      </c>
      <c r="H14" s="10">
        <v>6.45</v>
      </c>
      <c r="I14" s="12">
        <v>84.293229166666663</v>
      </c>
      <c r="J14" s="10">
        <v>1</v>
      </c>
      <c r="K14" s="10">
        <v>0</v>
      </c>
      <c r="L14" s="10" t="s">
        <v>1902</v>
      </c>
      <c r="M14" s="10" t="s">
        <v>1902</v>
      </c>
      <c r="N14" s="10">
        <v>531</v>
      </c>
      <c r="O14" s="10" t="s">
        <v>1950</v>
      </c>
      <c r="P14" s="13">
        <v>45505</v>
      </c>
    </row>
    <row r="15" spans="1:16" x14ac:dyDescent="0.25">
      <c r="A15" s="10" t="s">
        <v>325</v>
      </c>
      <c r="B15" s="10" t="s">
        <v>303</v>
      </c>
      <c r="C15" s="10" t="s">
        <v>5</v>
      </c>
      <c r="D15" s="10" t="s">
        <v>316</v>
      </c>
      <c r="E15" s="10">
        <v>9900546939</v>
      </c>
      <c r="F15" s="10" t="s">
        <v>309</v>
      </c>
      <c r="G15" s="10"/>
      <c r="H15" s="10">
        <v>0</v>
      </c>
      <c r="I15" s="12">
        <v>84.25503472222222</v>
      </c>
      <c r="J15" s="10">
        <v>3</v>
      </c>
      <c r="K15" s="10">
        <v>1</v>
      </c>
      <c r="L15" s="10" t="s">
        <v>1684</v>
      </c>
      <c r="M15" s="10" t="s">
        <v>1685</v>
      </c>
      <c r="N15" s="10">
        <v>573</v>
      </c>
      <c r="O15" s="10" t="s">
        <v>1950</v>
      </c>
      <c r="P15" s="10"/>
    </row>
    <row r="16" spans="1:16" x14ac:dyDescent="0.25">
      <c r="A16" s="10" t="s">
        <v>326</v>
      </c>
      <c r="B16" s="10" t="s">
        <v>303</v>
      </c>
      <c r="C16" s="10" t="s">
        <v>5</v>
      </c>
      <c r="D16" s="10" t="s">
        <v>316</v>
      </c>
      <c r="E16" s="10">
        <v>9900546939</v>
      </c>
      <c r="F16" s="10" t="s">
        <v>309</v>
      </c>
      <c r="G16" s="10"/>
      <c r="H16" s="10">
        <v>0</v>
      </c>
      <c r="I16" s="12">
        <v>84.25503472222222</v>
      </c>
      <c r="J16" s="10">
        <v>3</v>
      </c>
      <c r="K16" s="10">
        <v>1</v>
      </c>
      <c r="L16" s="10" t="s">
        <v>1689</v>
      </c>
      <c r="M16" s="10" t="s">
        <v>1690</v>
      </c>
      <c r="N16" s="10">
        <v>574</v>
      </c>
      <c r="O16" s="10" t="s">
        <v>1950</v>
      </c>
      <c r="P16" s="10"/>
    </row>
    <row r="17" spans="1:16" x14ac:dyDescent="0.25">
      <c r="A17" s="10" t="s">
        <v>327</v>
      </c>
      <c r="B17" s="10" t="s">
        <v>303</v>
      </c>
      <c r="C17" s="10" t="s">
        <v>5</v>
      </c>
      <c r="D17" s="10" t="s">
        <v>316</v>
      </c>
      <c r="E17" s="10">
        <v>9900546939</v>
      </c>
      <c r="F17" s="11">
        <v>2.2916666666666665E-2</v>
      </c>
      <c r="G17" s="10">
        <v>33</v>
      </c>
      <c r="H17" s="10">
        <v>0</v>
      </c>
      <c r="I17" s="12">
        <v>84.25503472222222</v>
      </c>
      <c r="J17" s="10">
        <v>3</v>
      </c>
      <c r="K17" s="10">
        <v>0</v>
      </c>
      <c r="L17" s="10" t="s">
        <v>1650</v>
      </c>
      <c r="M17" s="10" t="s">
        <v>1651</v>
      </c>
      <c r="N17" s="10">
        <v>390</v>
      </c>
      <c r="O17" s="10" t="s">
        <v>1950</v>
      </c>
      <c r="P17" s="13">
        <v>45646</v>
      </c>
    </row>
    <row r="18" spans="1:16" x14ac:dyDescent="0.25">
      <c r="A18" s="10" t="s">
        <v>328</v>
      </c>
      <c r="B18" s="10" t="s">
        <v>303</v>
      </c>
      <c r="C18" s="10" t="s">
        <v>9</v>
      </c>
      <c r="D18" s="10" t="s">
        <v>329</v>
      </c>
      <c r="E18" s="10">
        <v>7685456565</v>
      </c>
      <c r="F18" s="10" t="s">
        <v>309</v>
      </c>
      <c r="G18" s="10"/>
      <c r="H18" s="10">
        <v>0</v>
      </c>
      <c r="I18" s="12">
        <v>84.257685185185181</v>
      </c>
      <c r="J18" s="10">
        <v>5</v>
      </c>
      <c r="K18" s="10">
        <v>1</v>
      </c>
      <c r="L18" s="10" t="s">
        <v>1541</v>
      </c>
      <c r="M18" s="10" t="s">
        <v>1542</v>
      </c>
      <c r="N18" s="10">
        <v>227</v>
      </c>
      <c r="O18" s="10" t="s">
        <v>1950</v>
      </c>
      <c r="P18" s="10"/>
    </row>
    <row r="19" spans="1:16" x14ac:dyDescent="0.25">
      <c r="A19" s="10" t="s">
        <v>330</v>
      </c>
      <c r="B19" s="10" t="s">
        <v>303</v>
      </c>
      <c r="C19" s="10" t="s">
        <v>21</v>
      </c>
      <c r="D19" s="10" t="s">
        <v>324</v>
      </c>
      <c r="E19" s="10">
        <v>9785675456</v>
      </c>
      <c r="F19" s="10" t="s">
        <v>309</v>
      </c>
      <c r="G19" s="10"/>
      <c r="H19" s="10">
        <v>0</v>
      </c>
      <c r="I19" s="12">
        <v>84.293229166666663</v>
      </c>
      <c r="J19" s="10">
        <v>1</v>
      </c>
      <c r="K19" s="10">
        <v>0</v>
      </c>
      <c r="L19" s="10" t="s">
        <v>1871</v>
      </c>
      <c r="M19" s="10" t="s">
        <v>1871</v>
      </c>
      <c r="N19" s="10">
        <v>372</v>
      </c>
      <c r="O19" s="10" t="s">
        <v>1950</v>
      </c>
      <c r="P19" s="10"/>
    </row>
    <row r="20" spans="1:16" x14ac:dyDescent="0.25">
      <c r="A20" s="10" t="s">
        <v>331</v>
      </c>
      <c r="B20" s="10" t="s">
        <v>303</v>
      </c>
      <c r="C20" s="10" t="s">
        <v>9</v>
      </c>
      <c r="D20" s="10" t="s">
        <v>329</v>
      </c>
      <c r="E20" s="10">
        <v>7685456565</v>
      </c>
      <c r="F20" s="11">
        <v>1.3449074074074073E-2</v>
      </c>
      <c r="G20" s="10">
        <v>19.37</v>
      </c>
      <c r="H20" s="10">
        <v>0</v>
      </c>
      <c r="I20" s="12">
        <v>84.257685185185181</v>
      </c>
      <c r="J20" s="10">
        <v>2</v>
      </c>
      <c r="K20" s="10">
        <v>0</v>
      </c>
      <c r="L20" s="10" t="s">
        <v>1758</v>
      </c>
      <c r="M20" s="10" t="s">
        <v>1759</v>
      </c>
      <c r="N20" s="10">
        <v>479</v>
      </c>
      <c r="O20" s="10" t="s">
        <v>1950</v>
      </c>
      <c r="P20" s="13">
        <v>45642</v>
      </c>
    </row>
    <row r="21" spans="1:16" x14ac:dyDescent="0.25">
      <c r="A21" s="10" t="s">
        <v>332</v>
      </c>
      <c r="B21" s="10" t="s">
        <v>303</v>
      </c>
      <c r="C21" s="10" t="s">
        <v>9</v>
      </c>
      <c r="D21" s="10" t="s">
        <v>329</v>
      </c>
      <c r="E21" s="10">
        <v>7685456565</v>
      </c>
      <c r="F21" s="10" t="s">
        <v>309</v>
      </c>
      <c r="G21" s="10"/>
      <c r="H21" s="10">
        <v>0</v>
      </c>
      <c r="I21" s="12">
        <v>84.257685185185181</v>
      </c>
      <c r="J21" s="10">
        <v>1</v>
      </c>
      <c r="K21" s="10">
        <v>0</v>
      </c>
      <c r="L21" s="10" t="s">
        <v>1892</v>
      </c>
      <c r="M21" s="10" t="s">
        <v>1892</v>
      </c>
      <c r="N21" s="10">
        <v>530</v>
      </c>
      <c r="O21" s="10" t="s">
        <v>1950</v>
      </c>
      <c r="P21" s="10"/>
    </row>
    <row r="22" spans="1:16" x14ac:dyDescent="0.25">
      <c r="A22" s="10" t="s">
        <v>333</v>
      </c>
      <c r="B22" s="10" t="s">
        <v>303</v>
      </c>
      <c r="C22" s="10" t="s">
        <v>23</v>
      </c>
      <c r="D22" s="10" t="s">
        <v>304</v>
      </c>
      <c r="E22" s="10">
        <v>8658282605</v>
      </c>
      <c r="F22" s="11">
        <v>3.2789351851851854E-2</v>
      </c>
      <c r="G22" s="10">
        <v>47.22</v>
      </c>
      <c r="H22" s="10">
        <v>0</v>
      </c>
      <c r="I22" s="12">
        <v>84.293958333333336</v>
      </c>
      <c r="J22" s="10">
        <v>3</v>
      </c>
      <c r="K22" s="10">
        <v>0</v>
      </c>
      <c r="L22" s="10" t="s">
        <v>1646</v>
      </c>
      <c r="M22" s="10" t="s">
        <v>1647</v>
      </c>
      <c r="N22" s="10">
        <v>246</v>
      </c>
      <c r="O22" s="10" t="s">
        <v>1950</v>
      </c>
      <c r="P22" s="13">
        <v>45644</v>
      </c>
    </row>
    <row r="23" spans="1:16" x14ac:dyDescent="0.25">
      <c r="A23" s="10" t="s">
        <v>334</v>
      </c>
      <c r="B23" s="10" t="s">
        <v>303</v>
      </c>
      <c r="C23" s="10" t="s">
        <v>13</v>
      </c>
      <c r="D23" s="10" t="s">
        <v>314</v>
      </c>
      <c r="E23" s="10">
        <v>9999338032</v>
      </c>
      <c r="F23" s="11">
        <v>4.0046296296296295E-2</v>
      </c>
      <c r="G23" s="10">
        <v>57.67</v>
      </c>
      <c r="H23" s="10">
        <v>0</v>
      </c>
      <c r="I23" s="12">
        <v>84.292418981481475</v>
      </c>
      <c r="J23" s="10">
        <v>3</v>
      </c>
      <c r="K23" s="10">
        <v>0</v>
      </c>
      <c r="L23" s="10" t="s">
        <v>1691</v>
      </c>
      <c r="M23" s="10" t="s">
        <v>1692</v>
      </c>
      <c r="N23" s="10">
        <v>401</v>
      </c>
      <c r="O23" s="10" t="s">
        <v>1950</v>
      </c>
      <c r="P23" s="13">
        <v>45637</v>
      </c>
    </row>
    <row r="24" spans="1:16" x14ac:dyDescent="0.25">
      <c r="A24" s="10" t="s">
        <v>335</v>
      </c>
      <c r="B24" s="10" t="s">
        <v>303</v>
      </c>
      <c r="C24" s="10" t="s">
        <v>9</v>
      </c>
      <c r="D24" s="10" t="s">
        <v>329</v>
      </c>
      <c r="E24" s="10">
        <v>7685456565</v>
      </c>
      <c r="F24" s="11">
        <v>1.9861111111111111E-2</v>
      </c>
      <c r="G24" s="10">
        <v>28.6</v>
      </c>
      <c r="H24" s="10">
        <v>0</v>
      </c>
      <c r="I24" s="12">
        <v>84.257685185185181</v>
      </c>
      <c r="J24" s="10">
        <v>1</v>
      </c>
      <c r="K24" s="10">
        <v>0</v>
      </c>
      <c r="L24" s="10" t="s">
        <v>1872</v>
      </c>
      <c r="M24" s="10" t="s">
        <v>1872</v>
      </c>
      <c r="N24" s="10">
        <v>483</v>
      </c>
      <c r="O24" s="10" t="s">
        <v>1950</v>
      </c>
      <c r="P24" s="13">
        <v>45653</v>
      </c>
    </row>
    <row r="25" spans="1:16" x14ac:dyDescent="0.25">
      <c r="A25" s="10" t="s">
        <v>336</v>
      </c>
      <c r="B25" s="10" t="s">
        <v>303</v>
      </c>
      <c r="C25" s="10" t="s">
        <v>5</v>
      </c>
      <c r="D25" s="10" t="s">
        <v>316</v>
      </c>
      <c r="E25" s="10">
        <v>9900546939</v>
      </c>
      <c r="F25" s="10" t="s">
        <v>309</v>
      </c>
      <c r="G25" s="10"/>
      <c r="H25" s="10">
        <v>0</v>
      </c>
      <c r="I25" s="12">
        <v>84.25503472222222</v>
      </c>
      <c r="J25" s="10">
        <v>4</v>
      </c>
      <c r="K25" s="10">
        <v>1</v>
      </c>
      <c r="L25" s="10" t="s">
        <v>1598</v>
      </c>
      <c r="M25" s="10" t="s">
        <v>1599</v>
      </c>
      <c r="N25" s="10">
        <v>427</v>
      </c>
      <c r="O25" s="10" t="s">
        <v>1950</v>
      </c>
      <c r="P25" s="10"/>
    </row>
    <row r="26" spans="1:16" x14ac:dyDescent="0.25">
      <c r="A26" s="10" t="s">
        <v>337</v>
      </c>
      <c r="B26" s="10" t="s">
        <v>303</v>
      </c>
      <c r="C26" s="10" t="s">
        <v>7</v>
      </c>
      <c r="D26" s="10" t="s">
        <v>338</v>
      </c>
      <c r="E26" s="10">
        <v>9786575676</v>
      </c>
      <c r="F26" s="10" t="s">
        <v>309</v>
      </c>
      <c r="G26" s="10"/>
      <c r="H26" s="10">
        <v>0</v>
      </c>
      <c r="I26" s="12">
        <v>84.255752314814814</v>
      </c>
      <c r="J26" s="10">
        <v>6</v>
      </c>
      <c r="K26" s="10">
        <v>1</v>
      </c>
      <c r="L26" s="10" t="s">
        <v>1476</v>
      </c>
      <c r="M26" s="10" t="s">
        <v>1477</v>
      </c>
      <c r="N26" s="10">
        <v>376</v>
      </c>
      <c r="O26" s="10" t="s">
        <v>1950</v>
      </c>
      <c r="P26" s="10"/>
    </row>
    <row r="27" spans="1:16" x14ac:dyDescent="0.25">
      <c r="A27" s="10" t="s">
        <v>339</v>
      </c>
      <c r="B27" s="10" t="s">
        <v>303</v>
      </c>
      <c r="C27" s="10" t="s">
        <v>5</v>
      </c>
      <c r="D27" s="10" t="s">
        <v>316</v>
      </c>
      <c r="E27" s="10">
        <v>9900546939</v>
      </c>
      <c r="F27" s="11">
        <v>2.7222222222222221E-2</v>
      </c>
      <c r="G27" s="10">
        <v>39.200000000000003</v>
      </c>
      <c r="H27" s="10">
        <v>0</v>
      </c>
      <c r="I27" s="12">
        <v>84.25503472222222</v>
      </c>
      <c r="J27" s="10">
        <v>5</v>
      </c>
      <c r="K27" s="10">
        <v>0</v>
      </c>
      <c r="L27" s="10" t="s">
        <v>1546</v>
      </c>
      <c r="M27" s="10" t="s">
        <v>1547</v>
      </c>
      <c r="N27" s="10">
        <v>361</v>
      </c>
      <c r="O27" s="10" t="s">
        <v>1950</v>
      </c>
      <c r="P27" s="13">
        <v>45617</v>
      </c>
    </row>
    <row r="28" spans="1:16" x14ac:dyDescent="0.25">
      <c r="A28" s="10" t="s">
        <v>340</v>
      </c>
      <c r="B28" s="10" t="s">
        <v>303</v>
      </c>
      <c r="C28" s="10" t="s">
        <v>5</v>
      </c>
      <c r="D28" s="10" t="s">
        <v>316</v>
      </c>
      <c r="E28" s="10">
        <v>9900546939</v>
      </c>
      <c r="F28" s="10" t="s">
        <v>309</v>
      </c>
      <c r="G28" s="10"/>
      <c r="H28" s="10">
        <v>0</v>
      </c>
      <c r="I28" s="12">
        <v>84.25503472222222</v>
      </c>
      <c r="J28" s="10">
        <v>4</v>
      </c>
      <c r="K28" s="10">
        <v>0</v>
      </c>
      <c r="L28" s="10" t="s">
        <v>1593</v>
      </c>
      <c r="M28" s="10" t="s">
        <v>1594</v>
      </c>
      <c r="N28" s="10">
        <v>339</v>
      </c>
      <c r="O28" s="10" t="s">
        <v>1950</v>
      </c>
      <c r="P28" s="10"/>
    </row>
    <row r="29" spans="1:16" x14ac:dyDescent="0.25">
      <c r="A29" s="10" t="s">
        <v>341</v>
      </c>
      <c r="B29" s="10" t="s">
        <v>303</v>
      </c>
      <c r="C29" s="10" t="s">
        <v>5</v>
      </c>
      <c r="D29" s="10" t="s">
        <v>316</v>
      </c>
      <c r="E29" s="10">
        <v>9900546939</v>
      </c>
      <c r="F29" s="10" t="s">
        <v>309</v>
      </c>
      <c r="G29" s="10"/>
      <c r="H29" s="10">
        <v>0</v>
      </c>
      <c r="I29" s="12">
        <v>84.25503472222222</v>
      </c>
      <c r="J29" s="10">
        <v>3</v>
      </c>
      <c r="K29" s="10">
        <v>0</v>
      </c>
      <c r="L29" s="10" t="s">
        <v>1696</v>
      </c>
      <c r="M29" s="10" t="s">
        <v>1697</v>
      </c>
      <c r="N29" s="10">
        <v>584</v>
      </c>
      <c r="O29" s="10" t="s">
        <v>1950</v>
      </c>
      <c r="P29" s="10"/>
    </row>
    <row r="30" spans="1:16" x14ac:dyDescent="0.25">
      <c r="A30" s="10" t="s">
        <v>342</v>
      </c>
      <c r="B30" s="10" t="s">
        <v>311</v>
      </c>
      <c r="C30" s="10" t="s">
        <v>31</v>
      </c>
      <c r="D30" s="10" t="s">
        <v>343</v>
      </c>
      <c r="E30" s="10">
        <v>8142754370</v>
      </c>
      <c r="F30" s="10" t="s">
        <v>309</v>
      </c>
      <c r="G30" s="10"/>
      <c r="H30" s="10">
        <v>0</v>
      </c>
      <c r="I30" s="12">
        <v>84.300335648148149</v>
      </c>
      <c r="J30" s="10">
        <v>9</v>
      </c>
      <c r="K30" s="10">
        <v>0</v>
      </c>
      <c r="L30" s="10" t="s">
        <v>1380</v>
      </c>
      <c r="M30" s="10" t="s">
        <v>1381</v>
      </c>
      <c r="N30" s="10">
        <v>-22</v>
      </c>
      <c r="O30" s="10" t="s">
        <v>1949</v>
      </c>
      <c r="P30" s="10"/>
    </row>
    <row r="31" spans="1:16" x14ac:dyDescent="0.25">
      <c r="A31" s="10" t="s">
        <v>344</v>
      </c>
      <c r="B31" s="10" t="s">
        <v>311</v>
      </c>
      <c r="C31" s="10" t="s">
        <v>29</v>
      </c>
      <c r="D31" s="10" t="s">
        <v>312</v>
      </c>
      <c r="E31" s="10">
        <v>9820914808</v>
      </c>
      <c r="F31" s="12">
        <v>4.000162037037037</v>
      </c>
      <c r="G31" s="10">
        <v>0.23</v>
      </c>
      <c r="H31" s="10">
        <v>393.01</v>
      </c>
      <c r="I31" s="12">
        <v>84.29965277777778</v>
      </c>
      <c r="J31" s="10">
        <v>24</v>
      </c>
      <c r="K31" s="10">
        <v>1</v>
      </c>
      <c r="L31" s="10" t="s">
        <v>1030</v>
      </c>
      <c r="M31" s="10" t="s">
        <v>1031</v>
      </c>
      <c r="N31" s="10">
        <v>7</v>
      </c>
      <c r="O31" s="10" t="s">
        <v>1950</v>
      </c>
      <c r="P31" s="13">
        <v>46098</v>
      </c>
    </row>
    <row r="32" spans="1:16" x14ac:dyDescent="0.25">
      <c r="A32" s="10" t="s">
        <v>345</v>
      </c>
      <c r="B32" s="10" t="s">
        <v>311</v>
      </c>
      <c r="C32" s="10" t="s">
        <v>29</v>
      </c>
      <c r="D32" s="10" t="s">
        <v>312</v>
      </c>
      <c r="E32" s="10">
        <v>9820914808</v>
      </c>
      <c r="F32" s="12">
        <v>3.748900462962963</v>
      </c>
      <c r="G32" s="10">
        <v>1078.42</v>
      </c>
      <c r="H32" s="10">
        <v>-1899.24</v>
      </c>
      <c r="I32" s="12">
        <v>84.29965277777778</v>
      </c>
      <c r="J32" s="10">
        <v>14</v>
      </c>
      <c r="K32" s="10">
        <v>8</v>
      </c>
      <c r="L32" s="10" t="s">
        <v>1226</v>
      </c>
      <c r="M32" s="10" t="s">
        <v>1227</v>
      </c>
      <c r="N32" s="10">
        <v>69</v>
      </c>
      <c r="O32" s="10" t="s">
        <v>1950</v>
      </c>
      <c r="P32" s="13">
        <v>45847</v>
      </c>
    </row>
    <row r="33" spans="1:16" x14ac:dyDescent="0.25">
      <c r="A33" s="10" t="s">
        <v>346</v>
      </c>
      <c r="B33" s="10" t="s">
        <v>311</v>
      </c>
      <c r="C33" s="10" t="s">
        <v>29</v>
      </c>
      <c r="D33" s="10" t="s">
        <v>312</v>
      </c>
      <c r="E33" s="10">
        <v>9820914808</v>
      </c>
      <c r="F33" s="12">
        <v>1.8810995370370371</v>
      </c>
      <c r="G33" s="10">
        <v>1268.78</v>
      </c>
      <c r="H33" s="10">
        <v>294.27999999999997</v>
      </c>
      <c r="I33" s="12">
        <v>84.29965277777778</v>
      </c>
      <c r="J33" s="10">
        <v>30</v>
      </c>
      <c r="K33" s="10">
        <v>11</v>
      </c>
      <c r="L33" s="10" t="s">
        <v>948</v>
      </c>
      <c r="M33" s="10" t="s">
        <v>949</v>
      </c>
      <c r="N33" s="10">
        <v>144</v>
      </c>
      <c r="O33" s="10" t="s">
        <v>1949</v>
      </c>
      <c r="P33" s="13">
        <v>45857</v>
      </c>
    </row>
    <row r="34" spans="1:16" x14ac:dyDescent="0.25">
      <c r="A34" s="10" t="s">
        <v>347</v>
      </c>
      <c r="B34" s="10" t="s">
        <v>311</v>
      </c>
      <c r="C34" s="10" t="s">
        <v>29</v>
      </c>
      <c r="D34" s="10" t="s">
        <v>312</v>
      </c>
      <c r="E34" s="10">
        <v>9820914808</v>
      </c>
      <c r="F34" s="12">
        <v>5.789710648148148</v>
      </c>
      <c r="G34" s="10">
        <v>1137.18</v>
      </c>
      <c r="H34" s="10">
        <v>761.25</v>
      </c>
      <c r="I34" s="12">
        <v>84.29965277777778</v>
      </c>
      <c r="J34" s="10">
        <v>29</v>
      </c>
      <c r="K34" s="10">
        <v>6</v>
      </c>
      <c r="L34" s="10" t="s">
        <v>962</v>
      </c>
      <c r="M34" s="10" t="s">
        <v>963</v>
      </c>
      <c r="N34" s="10">
        <v>162</v>
      </c>
      <c r="O34" s="10" t="s">
        <v>1949</v>
      </c>
      <c r="P34" s="13">
        <v>45900</v>
      </c>
    </row>
    <row r="35" spans="1:16" x14ac:dyDescent="0.25">
      <c r="A35" s="10" t="s">
        <v>348</v>
      </c>
      <c r="B35" s="10" t="s">
        <v>311</v>
      </c>
      <c r="C35" s="10" t="s">
        <v>29</v>
      </c>
      <c r="D35" s="10" t="s">
        <v>312</v>
      </c>
      <c r="E35" s="10">
        <v>9820914808</v>
      </c>
      <c r="F35" s="12">
        <v>7.9338888888888892</v>
      </c>
      <c r="G35" s="10">
        <v>1344.8</v>
      </c>
      <c r="H35" s="10">
        <v>1796.62</v>
      </c>
      <c r="I35" s="12">
        <v>84.29965277777778</v>
      </c>
      <c r="J35" s="10">
        <v>43</v>
      </c>
      <c r="K35" s="10">
        <v>13</v>
      </c>
      <c r="L35" s="10" t="s">
        <v>834</v>
      </c>
      <c r="M35" s="10" t="s">
        <v>835</v>
      </c>
      <c r="N35" s="10">
        <v>144</v>
      </c>
      <c r="O35" s="10" t="s">
        <v>1949</v>
      </c>
      <c r="P35" s="13">
        <v>46105</v>
      </c>
    </row>
    <row r="36" spans="1:16" x14ac:dyDescent="0.25">
      <c r="A36" s="10" t="s">
        <v>349</v>
      </c>
      <c r="B36" s="10" t="s">
        <v>311</v>
      </c>
      <c r="C36" s="10" t="s">
        <v>29</v>
      </c>
      <c r="D36" s="10" t="s">
        <v>312</v>
      </c>
      <c r="E36" s="10">
        <v>9820914808</v>
      </c>
      <c r="F36" s="12">
        <v>5.9549189814814811</v>
      </c>
      <c r="G36" s="10">
        <v>1375.08</v>
      </c>
      <c r="H36" s="10">
        <v>1683.71</v>
      </c>
      <c r="I36" s="12">
        <v>84.29965277777778</v>
      </c>
      <c r="J36" s="10">
        <v>14</v>
      </c>
      <c r="K36" s="10">
        <v>7</v>
      </c>
      <c r="L36" s="10" t="s">
        <v>1224</v>
      </c>
      <c r="M36" s="10" t="s">
        <v>1225</v>
      </c>
      <c r="N36" s="10">
        <v>15</v>
      </c>
      <c r="O36" s="10" t="s">
        <v>1950</v>
      </c>
      <c r="P36" s="13">
        <v>46153</v>
      </c>
    </row>
    <row r="37" spans="1:16" x14ac:dyDescent="0.25">
      <c r="A37" s="10" t="s">
        <v>350</v>
      </c>
      <c r="B37" s="10" t="s">
        <v>311</v>
      </c>
      <c r="C37" s="10" t="s">
        <v>29</v>
      </c>
      <c r="D37" s="10" t="s">
        <v>312</v>
      </c>
      <c r="E37" s="10">
        <v>9820914808</v>
      </c>
      <c r="F37" s="12">
        <v>1.9357407407407408</v>
      </c>
      <c r="G37" s="10">
        <v>1347.47</v>
      </c>
      <c r="H37" s="10">
        <v>339.85</v>
      </c>
      <c r="I37" s="12">
        <v>84.29965277777778</v>
      </c>
      <c r="J37" s="10">
        <v>15</v>
      </c>
      <c r="K37" s="10">
        <v>3</v>
      </c>
      <c r="L37" s="10" t="s">
        <v>1200</v>
      </c>
      <c r="M37" s="10" t="s">
        <v>1201</v>
      </c>
      <c r="N37" s="10">
        <v>133</v>
      </c>
      <c r="O37" s="10" t="s">
        <v>1950</v>
      </c>
      <c r="P37" s="13">
        <v>45894</v>
      </c>
    </row>
    <row r="38" spans="1:16" x14ac:dyDescent="0.25">
      <c r="A38" s="10" t="s">
        <v>351</v>
      </c>
      <c r="B38" s="10" t="s">
        <v>311</v>
      </c>
      <c r="C38" s="10" t="s">
        <v>29</v>
      </c>
      <c r="D38" s="10" t="s">
        <v>312</v>
      </c>
      <c r="E38" s="10">
        <v>9820914808</v>
      </c>
      <c r="F38" s="12">
        <v>2.2140393518518517</v>
      </c>
      <c r="G38" s="10">
        <v>308.22000000000003</v>
      </c>
      <c r="H38" s="10">
        <v>86080628279.029999</v>
      </c>
      <c r="I38" s="12">
        <v>84.29965277777778</v>
      </c>
      <c r="J38" s="10">
        <v>34</v>
      </c>
      <c r="K38" s="10">
        <v>10</v>
      </c>
      <c r="L38" s="10" t="s">
        <v>900</v>
      </c>
      <c r="M38" s="10" t="s">
        <v>901</v>
      </c>
      <c r="N38" s="10">
        <v>155</v>
      </c>
      <c r="O38" s="10" t="s">
        <v>1950</v>
      </c>
      <c r="P38" s="13">
        <v>45932</v>
      </c>
    </row>
    <row r="39" spans="1:16" x14ac:dyDescent="0.25">
      <c r="A39" s="10" t="s">
        <v>352</v>
      </c>
      <c r="B39" s="10" t="s">
        <v>311</v>
      </c>
      <c r="C39" s="10" t="s">
        <v>31</v>
      </c>
      <c r="D39" s="10" t="s">
        <v>343</v>
      </c>
      <c r="E39" s="10">
        <v>8142754370</v>
      </c>
      <c r="F39" s="12">
        <v>1.9085416666666666</v>
      </c>
      <c r="G39" s="10">
        <v>1308.3</v>
      </c>
      <c r="H39" s="10">
        <v>418.23</v>
      </c>
      <c r="I39" s="12">
        <v>84.300335648148149</v>
      </c>
      <c r="J39" s="10">
        <v>28</v>
      </c>
      <c r="K39" s="10">
        <v>6</v>
      </c>
      <c r="L39" s="10" t="s">
        <v>976</v>
      </c>
      <c r="M39" s="10" t="s">
        <v>977</v>
      </c>
      <c r="N39" s="10">
        <v>69</v>
      </c>
      <c r="O39" s="10" t="s">
        <v>1950</v>
      </c>
      <c r="P39" s="13">
        <v>46039</v>
      </c>
    </row>
    <row r="40" spans="1:16" x14ac:dyDescent="0.25">
      <c r="A40" s="10" t="s">
        <v>353</v>
      </c>
      <c r="B40" s="10" t="s">
        <v>311</v>
      </c>
      <c r="C40" s="10" t="s">
        <v>31</v>
      </c>
      <c r="D40" s="10" t="s">
        <v>343</v>
      </c>
      <c r="E40" s="10">
        <v>8142754370</v>
      </c>
      <c r="F40" s="12">
        <v>1.2258333333333333</v>
      </c>
      <c r="G40" s="10">
        <v>325.2</v>
      </c>
      <c r="H40" s="10">
        <v>232.99</v>
      </c>
      <c r="I40" s="12">
        <v>84.300335648148149</v>
      </c>
      <c r="J40" s="10">
        <v>8</v>
      </c>
      <c r="K40" s="10">
        <v>0</v>
      </c>
      <c r="L40" s="10" t="s">
        <v>1413</v>
      </c>
      <c r="M40" s="10" t="s">
        <v>1414</v>
      </c>
      <c r="N40" s="10">
        <v>126</v>
      </c>
      <c r="O40" s="10" t="s">
        <v>1949</v>
      </c>
      <c r="P40" s="13">
        <v>45638</v>
      </c>
    </row>
    <row r="41" spans="1:16" x14ac:dyDescent="0.25">
      <c r="A41" s="10" t="s">
        <v>354</v>
      </c>
      <c r="B41" s="10" t="s">
        <v>311</v>
      </c>
      <c r="C41" s="10" t="s">
        <v>29</v>
      </c>
      <c r="D41" s="10" t="s">
        <v>312</v>
      </c>
      <c r="E41" s="10">
        <v>9820914808</v>
      </c>
      <c r="F41" s="12">
        <v>2.7992476851851853</v>
      </c>
      <c r="G41" s="10">
        <v>1150.92</v>
      </c>
      <c r="H41" s="10">
        <v>46209898.469999999</v>
      </c>
      <c r="I41" s="12">
        <v>84.29965277777778</v>
      </c>
      <c r="J41" s="10">
        <v>31</v>
      </c>
      <c r="K41" s="10">
        <v>13</v>
      </c>
      <c r="L41" s="10" t="s">
        <v>932</v>
      </c>
      <c r="M41" s="10" t="s">
        <v>933</v>
      </c>
      <c r="N41" s="10">
        <v>136</v>
      </c>
      <c r="O41" s="10" t="s">
        <v>1949</v>
      </c>
      <c r="P41" s="13">
        <v>45883</v>
      </c>
    </row>
    <row r="42" spans="1:16" x14ac:dyDescent="0.25">
      <c r="A42" s="10" t="s">
        <v>355</v>
      </c>
      <c r="B42" s="10" t="s">
        <v>311</v>
      </c>
      <c r="C42" s="10" t="s">
        <v>29</v>
      </c>
      <c r="D42" s="10" t="s">
        <v>312</v>
      </c>
      <c r="E42" s="10">
        <v>9820914808</v>
      </c>
      <c r="F42" s="12">
        <v>2.107361111111111</v>
      </c>
      <c r="G42" s="10">
        <v>154.6</v>
      </c>
      <c r="H42" s="10">
        <v>394.14</v>
      </c>
      <c r="I42" s="12">
        <v>84.29965277777778</v>
      </c>
      <c r="J42" s="10">
        <v>36</v>
      </c>
      <c r="K42" s="10">
        <v>5</v>
      </c>
      <c r="L42" s="10" t="s">
        <v>883</v>
      </c>
      <c r="M42" s="10" t="s">
        <v>884</v>
      </c>
      <c r="N42" s="10">
        <v>147</v>
      </c>
      <c r="O42" s="10" t="s">
        <v>1949</v>
      </c>
      <c r="P42" s="13">
        <v>45901</v>
      </c>
    </row>
    <row r="43" spans="1:16" x14ac:dyDescent="0.25">
      <c r="A43" s="10" t="s">
        <v>356</v>
      </c>
      <c r="B43" s="10" t="s">
        <v>311</v>
      </c>
      <c r="C43" s="10" t="s">
        <v>29</v>
      </c>
      <c r="D43" s="10" t="s">
        <v>312</v>
      </c>
      <c r="E43" s="10">
        <v>9820914808</v>
      </c>
      <c r="F43" s="12">
        <v>7.287719907407407</v>
      </c>
      <c r="G43" s="10">
        <v>414.32</v>
      </c>
      <c r="H43" s="10">
        <v>1309.1600000000001</v>
      </c>
      <c r="I43" s="12">
        <v>84.29965277777778</v>
      </c>
      <c r="J43" s="10">
        <v>32</v>
      </c>
      <c r="K43" s="10">
        <v>15</v>
      </c>
      <c r="L43" s="10" t="s">
        <v>926</v>
      </c>
      <c r="M43" s="10" t="s">
        <v>927</v>
      </c>
      <c r="N43" s="10">
        <v>165</v>
      </c>
      <c r="O43" s="10" t="s">
        <v>1949</v>
      </c>
      <c r="P43" s="13">
        <v>45994</v>
      </c>
    </row>
    <row r="44" spans="1:16" x14ac:dyDescent="0.25">
      <c r="A44" s="10" t="s">
        <v>357</v>
      </c>
      <c r="B44" s="10" t="s">
        <v>311</v>
      </c>
      <c r="C44" s="10" t="s">
        <v>29</v>
      </c>
      <c r="D44" s="10" t="s">
        <v>312</v>
      </c>
      <c r="E44" s="10">
        <v>9820914808</v>
      </c>
      <c r="F44" s="12">
        <v>4.5555324074074077</v>
      </c>
      <c r="G44" s="10">
        <v>799.97</v>
      </c>
      <c r="H44" s="10">
        <v>918.26</v>
      </c>
      <c r="I44" s="12">
        <v>84.29965277777778</v>
      </c>
      <c r="J44" s="10">
        <v>33</v>
      </c>
      <c r="K44" s="10">
        <v>8</v>
      </c>
      <c r="L44" s="10" t="s">
        <v>910</v>
      </c>
      <c r="M44" s="10" t="s">
        <v>911</v>
      </c>
      <c r="N44" s="10">
        <v>158</v>
      </c>
      <c r="O44" s="10" t="s">
        <v>1950</v>
      </c>
      <c r="P44" s="13">
        <v>46154</v>
      </c>
    </row>
    <row r="45" spans="1:16" x14ac:dyDescent="0.25">
      <c r="A45" s="10" t="s">
        <v>358</v>
      </c>
      <c r="B45" s="10" t="s">
        <v>311</v>
      </c>
      <c r="C45" s="10" t="s">
        <v>29</v>
      </c>
      <c r="D45" s="10" t="s">
        <v>312</v>
      </c>
      <c r="E45" s="10">
        <v>9820914808</v>
      </c>
      <c r="F45" s="12">
        <v>5.8982175925925926</v>
      </c>
      <c r="G45" s="10">
        <v>1293.43</v>
      </c>
      <c r="H45" s="10">
        <v>1593.24</v>
      </c>
      <c r="I45" s="12">
        <v>84.29965277777778</v>
      </c>
      <c r="J45" s="10">
        <v>21</v>
      </c>
      <c r="K45" s="10">
        <v>6</v>
      </c>
      <c r="L45" s="10" t="s">
        <v>1084</v>
      </c>
      <c r="M45" s="10" t="s">
        <v>1085</v>
      </c>
      <c r="N45" s="10">
        <v>155</v>
      </c>
      <c r="O45" s="10" t="s">
        <v>1950</v>
      </c>
      <c r="P45" s="13">
        <v>46101</v>
      </c>
    </row>
    <row r="46" spans="1:16" x14ac:dyDescent="0.25">
      <c r="A46" s="10" t="s">
        <v>359</v>
      </c>
      <c r="B46" s="10" t="s">
        <v>311</v>
      </c>
      <c r="C46" s="10" t="s">
        <v>29</v>
      </c>
      <c r="D46" s="10" t="s">
        <v>312</v>
      </c>
      <c r="E46" s="10">
        <v>9820914808</v>
      </c>
      <c r="F46" s="12">
        <v>3.7101504629629631</v>
      </c>
      <c r="G46" s="10">
        <v>1022.62</v>
      </c>
      <c r="H46" s="10">
        <v>513.23</v>
      </c>
      <c r="I46" s="12">
        <v>84.29965277777778</v>
      </c>
      <c r="J46" s="10">
        <v>40</v>
      </c>
      <c r="K46" s="10">
        <v>18</v>
      </c>
      <c r="L46" s="10" t="s">
        <v>853</v>
      </c>
      <c r="M46" s="10" t="s">
        <v>854</v>
      </c>
      <c r="N46" s="10">
        <v>151</v>
      </c>
      <c r="O46" s="10" t="s">
        <v>1949</v>
      </c>
      <c r="P46" s="13">
        <v>46066</v>
      </c>
    </row>
    <row r="47" spans="1:16" x14ac:dyDescent="0.25">
      <c r="A47" s="10" t="s">
        <v>360</v>
      </c>
      <c r="B47" s="10" t="s">
        <v>311</v>
      </c>
      <c r="C47" s="10" t="s">
        <v>29</v>
      </c>
      <c r="D47" s="10" t="s">
        <v>312</v>
      </c>
      <c r="E47" s="10">
        <v>9820914808</v>
      </c>
      <c r="F47" s="11">
        <v>7.8078703703703706E-2</v>
      </c>
      <c r="G47" s="10">
        <v>112.43</v>
      </c>
      <c r="H47" s="10">
        <v>3.36</v>
      </c>
      <c r="I47" s="12">
        <v>84.29965277777778</v>
      </c>
      <c r="J47" s="10">
        <v>23</v>
      </c>
      <c r="K47" s="10">
        <v>16</v>
      </c>
      <c r="L47" s="10" t="s">
        <v>1048</v>
      </c>
      <c r="M47" s="10" t="s">
        <v>1049</v>
      </c>
      <c r="N47" s="10">
        <v>153</v>
      </c>
      <c r="O47" s="10" t="s">
        <v>1950</v>
      </c>
      <c r="P47" s="13">
        <v>45998</v>
      </c>
    </row>
    <row r="48" spans="1:16" x14ac:dyDescent="0.25">
      <c r="A48" s="10" t="s">
        <v>361</v>
      </c>
      <c r="B48" s="10" t="s">
        <v>311</v>
      </c>
      <c r="C48" s="10" t="s">
        <v>29</v>
      </c>
      <c r="D48" s="10" t="s">
        <v>312</v>
      </c>
      <c r="E48" s="10">
        <v>9820914808</v>
      </c>
      <c r="F48" s="11">
        <v>0.74209490740740736</v>
      </c>
      <c r="G48" s="10">
        <v>1068.6199999999999</v>
      </c>
      <c r="H48" s="10">
        <v>76.290000000000006</v>
      </c>
      <c r="I48" s="12">
        <v>84.29965277777778</v>
      </c>
      <c r="J48" s="10">
        <v>38</v>
      </c>
      <c r="K48" s="10">
        <v>20</v>
      </c>
      <c r="L48" s="10" t="s">
        <v>866</v>
      </c>
      <c r="M48" s="10" t="s">
        <v>867</v>
      </c>
      <c r="N48" s="10">
        <v>148</v>
      </c>
      <c r="O48" s="10" t="s">
        <v>1950</v>
      </c>
      <c r="P48" s="13">
        <v>45720</v>
      </c>
    </row>
    <row r="49" spans="1:16" x14ac:dyDescent="0.25">
      <c r="A49" s="10" t="s">
        <v>362</v>
      </c>
      <c r="B49" s="10" t="s">
        <v>311</v>
      </c>
      <c r="C49" s="10" t="s">
        <v>29</v>
      </c>
      <c r="D49" s="10" t="s">
        <v>312</v>
      </c>
      <c r="E49" s="10">
        <v>9820914808</v>
      </c>
      <c r="F49" s="12">
        <v>1.6254513888888888</v>
      </c>
      <c r="G49" s="10">
        <v>900.65</v>
      </c>
      <c r="H49" s="10">
        <v>179.13</v>
      </c>
      <c r="I49" s="12">
        <v>84.29965277777778</v>
      </c>
      <c r="J49" s="10">
        <v>20</v>
      </c>
      <c r="K49" s="10">
        <v>0</v>
      </c>
      <c r="L49" s="10" t="s">
        <v>1104</v>
      </c>
      <c r="M49" s="10" t="s">
        <v>1105</v>
      </c>
      <c r="N49" s="10">
        <v>157</v>
      </c>
      <c r="O49" s="10" t="s">
        <v>1950</v>
      </c>
      <c r="P49" s="13">
        <v>46028</v>
      </c>
    </row>
    <row r="50" spans="1:16" x14ac:dyDescent="0.25">
      <c r="A50" s="10" t="s">
        <v>363</v>
      </c>
      <c r="B50" s="10" t="s">
        <v>311</v>
      </c>
      <c r="C50" s="10" t="s">
        <v>23</v>
      </c>
      <c r="D50" s="10" t="s">
        <v>304</v>
      </c>
      <c r="E50" s="10">
        <v>8658282605</v>
      </c>
      <c r="F50" s="12">
        <v>2.231585648148148</v>
      </c>
      <c r="G50" s="10">
        <v>333.48</v>
      </c>
      <c r="H50" s="10">
        <v>221.58</v>
      </c>
      <c r="I50" s="12">
        <v>84.293958333333336</v>
      </c>
      <c r="J50" s="10">
        <v>23</v>
      </c>
      <c r="K50" s="10">
        <v>8</v>
      </c>
      <c r="L50" s="10" t="s">
        <v>1050</v>
      </c>
      <c r="M50" s="10" t="s">
        <v>1051</v>
      </c>
      <c r="N50" s="10">
        <v>416</v>
      </c>
      <c r="O50" s="10" t="s">
        <v>1949</v>
      </c>
      <c r="P50" s="13">
        <v>45727</v>
      </c>
    </row>
    <row r="51" spans="1:16" x14ac:dyDescent="0.25">
      <c r="A51" s="10" t="s">
        <v>364</v>
      </c>
      <c r="B51" s="10" t="s">
        <v>311</v>
      </c>
      <c r="C51" s="10" t="s">
        <v>37</v>
      </c>
      <c r="D51" s="10" t="s">
        <v>365</v>
      </c>
      <c r="E51" s="10">
        <v>7356444533</v>
      </c>
      <c r="F51" s="12">
        <v>1.8259143518518519</v>
      </c>
      <c r="G51" s="10">
        <v>1189.32</v>
      </c>
      <c r="H51" s="10">
        <v>413.1</v>
      </c>
      <c r="I51" s="12">
        <v>84.334097222222226</v>
      </c>
      <c r="J51" s="10">
        <v>6</v>
      </c>
      <c r="K51" s="10">
        <v>0</v>
      </c>
      <c r="L51" s="10" t="s">
        <v>1493</v>
      </c>
      <c r="M51" s="10" t="s">
        <v>1494</v>
      </c>
      <c r="N51" s="10">
        <v>103</v>
      </c>
      <c r="O51" s="10" t="s">
        <v>1950</v>
      </c>
      <c r="P51" s="13">
        <v>45629</v>
      </c>
    </row>
    <row r="52" spans="1:16" x14ac:dyDescent="0.25">
      <c r="A52" s="10" t="s">
        <v>366</v>
      </c>
      <c r="B52" s="10" t="s">
        <v>311</v>
      </c>
      <c r="C52" s="10" t="s">
        <v>29</v>
      </c>
      <c r="D52" s="10" t="s">
        <v>312</v>
      </c>
      <c r="E52" s="10">
        <v>9820914808</v>
      </c>
      <c r="F52" s="12">
        <v>2.4875694444444445</v>
      </c>
      <c r="G52" s="10">
        <v>702.1</v>
      </c>
      <c r="H52" s="10">
        <v>258.56</v>
      </c>
      <c r="I52" s="12">
        <v>84.29965277777778</v>
      </c>
      <c r="J52" s="10">
        <v>22</v>
      </c>
      <c r="K52" s="10">
        <v>9</v>
      </c>
      <c r="L52" s="10" t="s">
        <v>1062</v>
      </c>
      <c r="M52" s="10" t="s">
        <v>1063</v>
      </c>
      <c r="N52" s="10">
        <v>50</v>
      </c>
      <c r="O52" s="10" t="s">
        <v>1950</v>
      </c>
      <c r="P52" s="13">
        <v>45938</v>
      </c>
    </row>
    <row r="53" spans="1:16" x14ac:dyDescent="0.25">
      <c r="A53" s="10" t="s">
        <v>367</v>
      </c>
      <c r="B53" s="10" t="s">
        <v>311</v>
      </c>
      <c r="C53" s="10" t="s">
        <v>35</v>
      </c>
      <c r="D53" s="10" t="s">
        <v>368</v>
      </c>
      <c r="E53" s="10">
        <v>8448820535</v>
      </c>
      <c r="F53" s="10" t="s">
        <v>309</v>
      </c>
      <c r="G53" s="10"/>
      <c r="H53" s="10">
        <v>0</v>
      </c>
      <c r="I53" s="12">
        <v>84.334097222222226</v>
      </c>
      <c r="J53" s="10">
        <v>19</v>
      </c>
      <c r="K53" s="10">
        <v>6</v>
      </c>
      <c r="L53" s="10" t="s">
        <v>1114</v>
      </c>
      <c r="M53" s="10" t="s">
        <v>1115</v>
      </c>
      <c r="N53" s="10">
        <v>32</v>
      </c>
      <c r="O53" s="10" t="s">
        <v>1950</v>
      </c>
      <c r="P53" s="10"/>
    </row>
    <row r="54" spans="1:16" x14ac:dyDescent="0.25">
      <c r="A54" s="10" t="s">
        <v>369</v>
      </c>
      <c r="B54" s="10" t="s">
        <v>311</v>
      </c>
      <c r="C54" s="10" t="s">
        <v>29</v>
      </c>
      <c r="D54" s="10" t="s">
        <v>312</v>
      </c>
      <c r="E54" s="10">
        <v>9820914808</v>
      </c>
      <c r="F54" s="12">
        <v>3.570960648148148</v>
      </c>
      <c r="G54" s="10">
        <v>822.18</v>
      </c>
      <c r="H54" s="10">
        <v>470.37</v>
      </c>
      <c r="I54" s="12">
        <v>84.29965277777778</v>
      </c>
      <c r="J54" s="10">
        <v>24</v>
      </c>
      <c r="K54" s="10">
        <v>12</v>
      </c>
      <c r="L54" s="10" t="s">
        <v>1032</v>
      </c>
      <c r="M54" s="10" t="s">
        <v>1033</v>
      </c>
      <c r="N54" s="10">
        <v>33</v>
      </c>
      <c r="O54" s="10" t="s">
        <v>1950</v>
      </c>
      <c r="P54" s="13">
        <v>46076</v>
      </c>
    </row>
    <row r="55" spans="1:16" x14ac:dyDescent="0.25">
      <c r="A55" s="10" t="s">
        <v>370</v>
      </c>
      <c r="B55" s="10" t="s">
        <v>311</v>
      </c>
      <c r="C55" s="10" t="s">
        <v>29</v>
      </c>
      <c r="D55" s="10" t="s">
        <v>312</v>
      </c>
      <c r="E55" s="10">
        <v>9820914808</v>
      </c>
      <c r="F55" s="12">
        <v>2.1858912037037035</v>
      </c>
      <c r="G55" s="10">
        <v>267.68</v>
      </c>
      <c r="H55" s="10">
        <v>104368842.61</v>
      </c>
      <c r="I55" s="12">
        <v>84.29965277777778</v>
      </c>
      <c r="J55" s="10">
        <v>15</v>
      </c>
      <c r="K55" s="10">
        <v>4</v>
      </c>
      <c r="L55" s="10" t="s">
        <v>1198</v>
      </c>
      <c r="M55" s="10" t="s">
        <v>1199</v>
      </c>
      <c r="N55" s="10">
        <v>41</v>
      </c>
      <c r="O55" s="10" t="s">
        <v>1949</v>
      </c>
      <c r="P55" s="13">
        <v>46123</v>
      </c>
    </row>
    <row r="56" spans="1:16" x14ac:dyDescent="0.25">
      <c r="A56" s="10" t="s">
        <v>371</v>
      </c>
      <c r="B56" s="10" t="s">
        <v>311</v>
      </c>
      <c r="C56" s="10" t="s">
        <v>29</v>
      </c>
      <c r="D56" s="10" t="s">
        <v>312</v>
      </c>
      <c r="E56" s="10">
        <v>9820914808</v>
      </c>
      <c r="F56" s="12">
        <v>4.4277893518518523</v>
      </c>
      <c r="G56" s="10">
        <v>616.02</v>
      </c>
      <c r="H56" s="10">
        <v>749.88</v>
      </c>
      <c r="I56" s="12">
        <v>84.29965277777778</v>
      </c>
      <c r="J56" s="10">
        <v>64</v>
      </c>
      <c r="K56" s="10">
        <v>16</v>
      </c>
      <c r="L56" s="10" t="s">
        <v>796</v>
      </c>
      <c r="M56" s="10" t="s">
        <v>797</v>
      </c>
      <c r="N56" s="10">
        <v>41</v>
      </c>
      <c r="O56" s="10" t="s">
        <v>1949</v>
      </c>
      <c r="P56" s="13">
        <v>46123</v>
      </c>
    </row>
    <row r="57" spans="1:16" x14ac:dyDescent="0.25">
      <c r="A57" s="10" t="s">
        <v>372</v>
      </c>
      <c r="B57" s="10" t="s">
        <v>311</v>
      </c>
      <c r="C57" s="10" t="s">
        <v>29</v>
      </c>
      <c r="D57" s="10" t="s">
        <v>312</v>
      </c>
      <c r="E57" s="10">
        <v>9820914808</v>
      </c>
      <c r="F57" s="12">
        <v>1.1469675925925926</v>
      </c>
      <c r="G57" s="10">
        <v>211.63</v>
      </c>
      <c r="H57" s="10">
        <v>117.27</v>
      </c>
      <c r="I57" s="12">
        <v>84.29965277777778</v>
      </c>
      <c r="J57" s="10">
        <v>26</v>
      </c>
      <c r="K57" s="10">
        <v>13</v>
      </c>
      <c r="L57" s="10" t="s">
        <v>1004</v>
      </c>
      <c r="M57" s="10" t="s">
        <v>1005</v>
      </c>
      <c r="N57" s="10">
        <v>176</v>
      </c>
      <c r="O57" s="10" t="s">
        <v>1949</v>
      </c>
      <c r="P57" s="13">
        <v>45912</v>
      </c>
    </row>
    <row r="58" spans="1:16" x14ac:dyDescent="0.25">
      <c r="A58" s="10" t="s">
        <v>373</v>
      </c>
      <c r="B58" s="10" t="s">
        <v>311</v>
      </c>
      <c r="C58" s="10" t="s">
        <v>29</v>
      </c>
      <c r="D58" s="10" t="s">
        <v>312</v>
      </c>
      <c r="E58" s="10">
        <v>9820914808</v>
      </c>
      <c r="F58" s="11">
        <v>0.28976851851851854</v>
      </c>
      <c r="G58" s="10">
        <v>417.27</v>
      </c>
      <c r="H58" s="10">
        <v>35.4</v>
      </c>
      <c r="I58" s="12">
        <v>84.29965277777778</v>
      </c>
      <c r="J58" s="10">
        <v>9</v>
      </c>
      <c r="K58" s="10">
        <v>1</v>
      </c>
      <c r="L58" s="10" t="s">
        <v>1387</v>
      </c>
      <c r="M58" s="10" t="s">
        <v>1388</v>
      </c>
      <c r="N58" s="10">
        <v>208</v>
      </c>
      <c r="O58" s="10" t="s">
        <v>1950</v>
      </c>
      <c r="P58" s="13">
        <v>46072</v>
      </c>
    </row>
    <row r="59" spans="1:16" x14ac:dyDescent="0.25">
      <c r="A59" s="10" t="s">
        <v>374</v>
      </c>
      <c r="B59" s="10" t="s">
        <v>311</v>
      </c>
      <c r="C59" s="10" t="s">
        <v>29</v>
      </c>
      <c r="D59" s="10" t="s">
        <v>312</v>
      </c>
      <c r="E59" s="10">
        <v>9820914808</v>
      </c>
      <c r="F59" s="11">
        <v>0.51701388888888888</v>
      </c>
      <c r="G59" s="10">
        <v>744.5</v>
      </c>
      <c r="H59" s="10">
        <v>29.58</v>
      </c>
      <c r="I59" s="12">
        <v>84.29965277777778</v>
      </c>
      <c r="J59" s="10">
        <v>20</v>
      </c>
      <c r="K59" s="10">
        <v>4</v>
      </c>
      <c r="L59" s="10" t="s">
        <v>1110</v>
      </c>
      <c r="M59" s="10" t="s">
        <v>1111</v>
      </c>
      <c r="N59" s="10">
        <v>206</v>
      </c>
      <c r="O59" s="10" t="s">
        <v>1950</v>
      </c>
      <c r="P59" s="13">
        <v>45994</v>
      </c>
    </row>
    <row r="60" spans="1:16" x14ac:dyDescent="0.25">
      <c r="A60" s="10" t="s">
        <v>375</v>
      </c>
      <c r="B60" s="10" t="s">
        <v>311</v>
      </c>
      <c r="C60" s="10" t="s">
        <v>29</v>
      </c>
      <c r="D60" s="10" t="s">
        <v>312</v>
      </c>
      <c r="E60" s="10">
        <v>9820914808</v>
      </c>
      <c r="F60" s="12">
        <v>4.9853472222222219</v>
      </c>
      <c r="G60" s="10">
        <v>1418.9</v>
      </c>
      <c r="H60" s="10">
        <v>1148.7</v>
      </c>
      <c r="I60" s="12">
        <v>84.29965277777778</v>
      </c>
      <c r="J60" s="10">
        <v>41</v>
      </c>
      <c r="K60" s="10">
        <v>12</v>
      </c>
      <c r="L60" s="10" t="s">
        <v>844</v>
      </c>
      <c r="M60" s="10" t="s">
        <v>845</v>
      </c>
      <c r="N60" s="10">
        <v>165</v>
      </c>
      <c r="O60" s="10" t="s">
        <v>1950</v>
      </c>
      <c r="P60" s="13">
        <v>46085</v>
      </c>
    </row>
    <row r="61" spans="1:16" x14ac:dyDescent="0.25">
      <c r="A61" s="10" t="s">
        <v>376</v>
      </c>
      <c r="B61" s="10" t="s">
        <v>311</v>
      </c>
      <c r="C61" s="10" t="s">
        <v>29</v>
      </c>
      <c r="D61" s="10" t="s">
        <v>312</v>
      </c>
      <c r="E61" s="10">
        <v>9820914808</v>
      </c>
      <c r="F61" s="12">
        <v>3.5656712962962964</v>
      </c>
      <c r="G61" s="10">
        <v>814.57</v>
      </c>
      <c r="H61" s="10">
        <v>1553.37</v>
      </c>
      <c r="I61" s="12">
        <v>84.29965277777778</v>
      </c>
      <c r="J61" s="10">
        <v>51</v>
      </c>
      <c r="K61" s="10">
        <v>7</v>
      </c>
      <c r="L61" s="10" t="s">
        <v>819</v>
      </c>
      <c r="M61" s="10" t="s">
        <v>820</v>
      </c>
      <c r="N61" s="10">
        <v>164</v>
      </c>
      <c r="O61" s="10" t="s">
        <v>1950</v>
      </c>
      <c r="P61" s="13">
        <v>46067</v>
      </c>
    </row>
    <row r="62" spans="1:16" x14ac:dyDescent="0.25">
      <c r="A62" s="10" t="s">
        <v>377</v>
      </c>
      <c r="B62" s="10" t="s">
        <v>311</v>
      </c>
      <c r="C62" s="10" t="s">
        <v>29</v>
      </c>
      <c r="D62" s="10" t="s">
        <v>312</v>
      </c>
      <c r="E62" s="10">
        <v>9820914808</v>
      </c>
      <c r="F62" s="12">
        <v>2.800474537037037</v>
      </c>
      <c r="G62" s="10">
        <v>1152.68</v>
      </c>
      <c r="H62" s="10">
        <v>452.6</v>
      </c>
      <c r="I62" s="12">
        <v>84.29965277777778</v>
      </c>
      <c r="J62" s="10">
        <v>77</v>
      </c>
      <c r="K62" s="10">
        <v>9</v>
      </c>
      <c r="L62" s="10" t="s">
        <v>790</v>
      </c>
      <c r="M62" s="10" t="s">
        <v>791</v>
      </c>
      <c r="N62" s="10">
        <v>133</v>
      </c>
      <c r="O62" s="10" t="s">
        <v>1950</v>
      </c>
      <c r="P62" s="13">
        <v>45683</v>
      </c>
    </row>
    <row r="63" spans="1:16" x14ac:dyDescent="0.25">
      <c r="A63" s="10" t="s">
        <v>378</v>
      </c>
      <c r="B63" s="10" t="s">
        <v>311</v>
      </c>
      <c r="C63" s="10" t="s">
        <v>29</v>
      </c>
      <c r="D63" s="10" t="s">
        <v>312</v>
      </c>
      <c r="E63" s="10">
        <v>9820914808</v>
      </c>
      <c r="F63" s="12">
        <v>4.196412037037037</v>
      </c>
      <c r="G63" s="10">
        <v>282.83</v>
      </c>
      <c r="H63" s="10">
        <v>710.66</v>
      </c>
      <c r="I63" s="12">
        <v>84.29965277777778</v>
      </c>
      <c r="J63" s="10">
        <v>29</v>
      </c>
      <c r="K63" s="10">
        <v>6</v>
      </c>
      <c r="L63" s="10" t="s">
        <v>956</v>
      </c>
      <c r="M63" s="10" t="s">
        <v>957</v>
      </c>
      <c r="N63" s="10">
        <v>121</v>
      </c>
      <c r="O63" s="10" t="s">
        <v>1949</v>
      </c>
      <c r="P63" s="13">
        <v>45962</v>
      </c>
    </row>
    <row r="64" spans="1:16" x14ac:dyDescent="0.25">
      <c r="A64" s="10" t="s">
        <v>379</v>
      </c>
      <c r="B64" s="10" t="s">
        <v>311</v>
      </c>
      <c r="C64" s="10" t="s">
        <v>29</v>
      </c>
      <c r="D64" s="10" t="s">
        <v>312</v>
      </c>
      <c r="E64" s="10">
        <v>9820914808</v>
      </c>
      <c r="F64" s="12">
        <v>2.2813657407407408</v>
      </c>
      <c r="G64" s="10">
        <v>405.17</v>
      </c>
      <c r="H64" s="10">
        <v>425.64</v>
      </c>
      <c r="I64" s="12">
        <v>84.29965277777778</v>
      </c>
      <c r="J64" s="10">
        <v>27</v>
      </c>
      <c r="K64" s="10">
        <v>15</v>
      </c>
      <c r="L64" s="10" t="s">
        <v>990</v>
      </c>
      <c r="M64" s="10" t="s">
        <v>991</v>
      </c>
      <c r="N64" s="10">
        <v>210</v>
      </c>
      <c r="O64" s="10" t="s">
        <v>1949</v>
      </c>
      <c r="P64" s="13">
        <v>46144</v>
      </c>
    </row>
    <row r="65" spans="1:16" x14ac:dyDescent="0.25">
      <c r="A65" s="10" t="s">
        <v>380</v>
      </c>
      <c r="B65" s="10" t="s">
        <v>311</v>
      </c>
      <c r="C65" s="10" t="s">
        <v>48</v>
      </c>
      <c r="D65" s="10" t="s">
        <v>381</v>
      </c>
      <c r="E65" s="10">
        <v>7665253999</v>
      </c>
      <c r="F65" s="11">
        <v>0.17164351851851853</v>
      </c>
      <c r="G65" s="10">
        <v>247.17</v>
      </c>
      <c r="H65" s="10">
        <v>3.74</v>
      </c>
      <c r="I65" s="12">
        <v>84.338333333333338</v>
      </c>
      <c r="J65" s="10">
        <v>7</v>
      </c>
      <c r="K65" s="10">
        <v>0</v>
      </c>
      <c r="L65" s="10" t="s">
        <v>1452</v>
      </c>
      <c r="M65" s="10" t="s">
        <v>1453</v>
      </c>
      <c r="N65" s="10">
        <v>-85</v>
      </c>
      <c r="O65" s="10" t="s">
        <v>1950</v>
      </c>
      <c r="P65" s="13">
        <v>46015</v>
      </c>
    </row>
    <row r="66" spans="1:16" x14ac:dyDescent="0.25">
      <c r="A66" s="10" t="s">
        <v>382</v>
      </c>
      <c r="B66" s="10" t="s">
        <v>311</v>
      </c>
      <c r="C66" s="10" t="s">
        <v>29</v>
      </c>
      <c r="D66" s="10" t="s">
        <v>312</v>
      </c>
      <c r="E66" s="10">
        <v>9820914808</v>
      </c>
      <c r="F66" s="11">
        <v>0.28771990740740738</v>
      </c>
      <c r="G66" s="10">
        <v>414.32</v>
      </c>
      <c r="H66" s="10">
        <v>38.07</v>
      </c>
      <c r="I66" s="12">
        <v>84.29965277777778</v>
      </c>
      <c r="J66" s="10">
        <v>8</v>
      </c>
      <c r="K66" s="10">
        <v>4</v>
      </c>
      <c r="L66" s="10" t="s">
        <v>1417</v>
      </c>
      <c r="M66" s="10" t="s">
        <v>1418</v>
      </c>
      <c r="N66" s="10">
        <v>176</v>
      </c>
      <c r="O66" s="10" t="s">
        <v>1949</v>
      </c>
      <c r="P66" s="13">
        <v>45939</v>
      </c>
    </row>
    <row r="67" spans="1:16" x14ac:dyDescent="0.25">
      <c r="A67" s="10" t="s">
        <v>383</v>
      </c>
      <c r="B67" s="10" t="s">
        <v>311</v>
      </c>
      <c r="C67" s="10" t="s">
        <v>48</v>
      </c>
      <c r="D67" s="10" t="s">
        <v>381</v>
      </c>
      <c r="E67" s="10">
        <v>7665253999</v>
      </c>
      <c r="F67" s="11">
        <v>0.1247337962962963</v>
      </c>
      <c r="G67" s="10">
        <v>179.62</v>
      </c>
      <c r="H67" s="10">
        <v>2.87</v>
      </c>
      <c r="I67" s="12">
        <v>84.338333333333338</v>
      </c>
      <c r="J67" s="10">
        <v>11</v>
      </c>
      <c r="K67" s="10">
        <v>0</v>
      </c>
      <c r="L67" s="10" t="s">
        <v>1307</v>
      </c>
      <c r="M67" s="10" t="s">
        <v>1308</v>
      </c>
      <c r="N67" s="10">
        <v>-85</v>
      </c>
      <c r="O67" s="10" t="s">
        <v>1950</v>
      </c>
      <c r="P67" s="13">
        <v>46028</v>
      </c>
    </row>
    <row r="68" spans="1:16" x14ac:dyDescent="0.25">
      <c r="A68" s="10" t="s">
        <v>384</v>
      </c>
      <c r="B68" s="10" t="s">
        <v>311</v>
      </c>
      <c r="C68" s="10" t="s">
        <v>29</v>
      </c>
      <c r="D68" s="10" t="s">
        <v>312</v>
      </c>
      <c r="E68" s="10">
        <v>9820914808</v>
      </c>
      <c r="F68" s="12">
        <v>1.1904050925925926</v>
      </c>
      <c r="G68" s="10">
        <v>274.18</v>
      </c>
      <c r="H68" s="10">
        <v>123.07</v>
      </c>
      <c r="I68" s="12">
        <v>84.29965277777778</v>
      </c>
      <c r="J68" s="10">
        <v>8</v>
      </c>
      <c r="K68" s="10">
        <v>0</v>
      </c>
      <c r="L68" s="10" t="s">
        <v>1415</v>
      </c>
      <c r="M68" s="10" t="s">
        <v>1416</v>
      </c>
      <c r="N68" s="10">
        <v>175</v>
      </c>
      <c r="O68" s="10" t="s">
        <v>1950</v>
      </c>
      <c r="P68" s="13">
        <v>45807</v>
      </c>
    </row>
    <row r="69" spans="1:16" x14ac:dyDescent="0.25">
      <c r="A69" s="10" t="s">
        <v>385</v>
      </c>
      <c r="B69" s="10" t="s">
        <v>311</v>
      </c>
      <c r="C69" s="10" t="s">
        <v>29</v>
      </c>
      <c r="D69" s="10" t="s">
        <v>312</v>
      </c>
      <c r="E69" s="10">
        <v>9820914808</v>
      </c>
      <c r="F69" s="11">
        <v>5.3101851851851851E-2</v>
      </c>
      <c r="G69" s="10">
        <v>76.47</v>
      </c>
      <c r="H69" s="10">
        <v>1.82</v>
      </c>
      <c r="I69" s="12">
        <v>84.29965277777778</v>
      </c>
      <c r="J69" s="10">
        <v>5</v>
      </c>
      <c r="K69" s="10">
        <v>0</v>
      </c>
      <c r="L69" s="10" t="s">
        <v>1563</v>
      </c>
      <c r="M69" s="10" t="s">
        <v>1564</v>
      </c>
      <c r="N69" s="10">
        <v>195</v>
      </c>
      <c r="O69" s="10" t="s">
        <v>1949</v>
      </c>
      <c r="P69" s="13">
        <v>45617</v>
      </c>
    </row>
    <row r="70" spans="1:16" x14ac:dyDescent="0.25">
      <c r="A70" s="10" t="s">
        <v>386</v>
      </c>
      <c r="B70" s="10" t="s">
        <v>311</v>
      </c>
      <c r="C70" s="10" t="s">
        <v>48</v>
      </c>
      <c r="D70" s="10" t="s">
        <v>381</v>
      </c>
      <c r="E70" s="10">
        <v>7665253999</v>
      </c>
      <c r="F70" s="11">
        <v>2.3379629629629631E-3</v>
      </c>
      <c r="G70" s="10">
        <v>3.37</v>
      </c>
      <c r="H70" s="10">
        <v>0</v>
      </c>
      <c r="I70" s="12">
        <v>84.338333333333338</v>
      </c>
      <c r="J70" s="10">
        <v>7</v>
      </c>
      <c r="K70" s="10">
        <v>0</v>
      </c>
      <c r="L70" s="10" t="s">
        <v>1450</v>
      </c>
      <c r="M70" s="10" t="s">
        <v>1451</v>
      </c>
      <c r="N70" s="10">
        <v>-85</v>
      </c>
      <c r="O70" s="10" t="s">
        <v>1950</v>
      </c>
      <c r="P70" s="13">
        <v>45490</v>
      </c>
    </row>
    <row r="71" spans="1:16" x14ac:dyDescent="0.25">
      <c r="A71" s="10" t="s">
        <v>387</v>
      </c>
      <c r="B71" s="10" t="s">
        <v>311</v>
      </c>
      <c r="C71" s="10" t="s">
        <v>48</v>
      </c>
      <c r="D71" s="10" t="s">
        <v>381</v>
      </c>
      <c r="E71" s="10">
        <v>7665253999</v>
      </c>
      <c r="F71" s="11">
        <v>5.5775462962962964E-2</v>
      </c>
      <c r="G71" s="10">
        <v>80.319999999999993</v>
      </c>
      <c r="H71" s="10">
        <v>0.37</v>
      </c>
      <c r="I71" s="12">
        <v>84.338333333333338</v>
      </c>
      <c r="J71" s="10">
        <v>4</v>
      </c>
      <c r="K71" s="10">
        <v>0</v>
      </c>
      <c r="L71" s="10" t="s">
        <v>1606</v>
      </c>
      <c r="M71" s="10" t="s">
        <v>1607</v>
      </c>
      <c r="N71" s="10">
        <v>-85</v>
      </c>
      <c r="O71" s="10" t="s">
        <v>1950</v>
      </c>
      <c r="P71" s="13">
        <v>45487</v>
      </c>
    </row>
    <row r="72" spans="1:16" x14ac:dyDescent="0.25">
      <c r="A72" s="10" t="s">
        <v>388</v>
      </c>
      <c r="B72" s="10" t="s">
        <v>311</v>
      </c>
      <c r="C72" s="10" t="s">
        <v>48</v>
      </c>
      <c r="D72" s="10" t="s">
        <v>381</v>
      </c>
      <c r="E72" s="10">
        <v>7665253999</v>
      </c>
      <c r="F72" s="11">
        <v>0.35928240740740741</v>
      </c>
      <c r="G72" s="10">
        <v>517.37</v>
      </c>
      <c r="H72" s="10">
        <v>39.1</v>
      </c>
      <c r="I72" s="12">
        <v>84.338333333333338</v>
      </c>
      <c r="J72" s="10">
        <v>11</v>
      </c>
      <c r="K72" s="10">
        <v>4</v>
      </c>
      <c r="L72" s="10" t="s">
        <v>1305</v>
      </c>
      <c r="M72" s="10" t="s">
        <v>1306</v>
      </c>
      <c r="N72" s="10">
        <v>-85</v>
      </c>
      <c r="O72" s="10" t="s">
        <v>1950</v>
      </c>
      <c r="P72" s="13">
        <v>45549</v>
      </c>
    </row>
    <row r="73" spans="1:16" x14ac:dyDescent="0.25">
      <c r="A73" s="10" t="s">
        <v>389</v>
      </c>
      <c r="B73" s="10" t="s">
        <v>311</v>
      </c>
      <c r="C73" s="10" t="s">
        <v>59</v>
      </c>
      <c r="D73" s="10" t="s">
        <v>390</v>
      </c>
      <c r="E73" s="10">
        <v>9610765474</v>
      </c>
      <c r="F73" s="11">
        <v>0.58997685185185189</v>
      </c>
      <c r="G73" s="10">
        <v>849.57</v>
      </c>
      <c r="H73" s="10">
        <v>80.59</v>
      </c>
      <c r="I73" s="12">
        <v>84.338483796296302</v>
      </c>
      <c r="J73" s="10">
        <v>8</v>
      </c>
      <c r="K73" s="10">
        <v>1</v>
      </c>
      <c r="L73" s="10" t="s">
        <v>1411</v>
      </c>
      <c r="M73" s="10" t="s">
        <v>1412</v>
      </c>
      <c r="N73" s="10">
        <v>-98</v>
      </c>
      <c r="O73" s="10" t="s">
        <v>1950</v>
      </c>
      <c r="P73" s="13">
        <v>46132</v>
      </c>
    </row>
    <row r="74" spans="1:16" x14ac:dyDescent="0.25">
      <c r="A74" s="10" t="s">
        <v>391</v>
      </c>
      <c r="B74" s="10" t="s">
        <v>311</v>
      </c>
      <c r="C74" s="10" t="s">
        <v>59</v>
      </c>
      <c r="D74" s="10" t="s">
        <v>390</v>
      </c>
      <c r="E74" s="10">
        <v>9610765474</v>
      </c>
      <c r="F74" s="11">
        <v>0.16840277777777779</v>
      </c>
      <c r="G74" s="10">
        <v>242.5</v>
      </c>
      <c r="H74" s="10">
        <v>6.97</v>
      </c>
      <c r="I74" s="12">
        <v>84.338483796296302</v>
      </c>
      <c r="J74" s="10">
        <v>10</v>
      </c>
      <c r="K74" s="10">
        <v>4</v>
      </c>
      <c r="L74" s="10" t="s">
        <v>1340</v>
      </c>
      <c r="M74" s="10" t="s">
        <v>1341</v>
      </c>
      <c r="N74" s="10">
        <v>-98</v>
      </c>
      <c r="O74" s="10" t="s">
        <v>1950</v>
      </c>
      <c r="P74" s="13">
        <v>45694</v>
      </c>
    </row>
    <row r="75" spans="1:16" x14ac:dyDescent="0.25">
      <c r="A75" s="10" t="s">
        <v>392</v>
      </c>
      <c r="B75" s="10" t="s">
        <v>311</v>
      </c>
      <c r="C75" s="10" t="s">
        <v>29</v>
      </c>
      <c r="D75" s="10" t="s">
        <v>312</v>
      </c>
      <c r="E75" s="10">
        <v>9820914808</v>
      </c>
      <c r="F75" s="11">
        <v>0.30150462962962965</v>
      </c>
      <c r="G75" s="10">
        <v>434.17</v>
      </c>
      <c r="H75" s="10">
        <v>41.41</v>
      </c>
      <c r="I75" s="12">
        <v>84.29965277777778</v>
      </c>
      <c r="J75" s="10">
        <v>13</v>
      </c>
      <c r="K75" s="10">
        <v>7</v>
      </c>
      <c r="L75" s="10" t="s">
        <v>1273</v>
      </c>
      <c r="M75" s="10" t="s">
        <v>1274</v>
      </c>
      <c r="N75" s="10">
        <v>284</v>
      </c>
      <c r="O75" s="10" t="s">
        <v>1949</v>
      </c>
      <c r="P75" s="13">
        <v>46007</v>
      </c>
    </row>
    <row r="76" spans="1:16" x14ac:dyDescent="0.25">
      <c r="A76" s="10" t="s">
        <v>393</v>
      </c>
      <c r="B76" s="10" t="s">
        <v>311</v>
      </c>
      <c r="C76" s="10" t="s">
        <v>29</v>
      </c>
      <c r="D76" s="10" t="s">
        <v>312</v>
      </c>
      <c r="E76" s="10">
        <v>9820914808</v>
      </c>
      <c r="F76" s="11">
        <v>0.62539351851851854</v>
      </c>
      <c r="G76" s="10">
        <v>900.57</v>
      </c>
      <c r="H76" s="10">
        <v>73.67</v>
      </c>
      <c r="I76" s="12">
        <v>84.29965277777778</v>
      </c>
      <c r="J76" s="10">
        <v>10</v>
      </c>
      <c r="K76" s="10">
        <v>4</v>
      </c>
      <c r="L76" s="10" t="s">
        <v>1342</v>
      </c>
      <c r="M76" s="10" t="s">
        <v>1343</v>
      </c>
      <c r="N76" s="10">
        <v>160</v>
      </c>
      <c r="O76" s="10" t="s">
        <v>1950</v>
      </c>
      <c r="P76" s="13">
        <v>46001</v>
      </c>
    </row>
    <row r="77" spans="1:16" x14ac:dyDescent="0.25">
      <c r="A77" s="10" t="s">
        <v>394</v>
      </c>
      <c r="B77" s="10" t="s">
        <v>311</v>
      </c>
      <c r="C77" s="10" t="s">
        <v>29</v>
      </c>
      <c r="D77" s="10" t="s">
        <v>312</v>
      </c>
      <c r="E77" s="10">
        <v>9820914808</v>
      </c>
      <c r="F77" s="12">
        <v>2.8808101851851853</v>
      </c>
      <c r="G77" s="10">
        <v>1268.3699999999999</v>
      </c>
      <c r="H77" s="10">
        <v>655.09</v>
      </c>
      <c r="I77" s="12">
        <v>84.29965277777778</v>
      </c>
      <c r="J77" s="10">
        <v>30</v>
      </c>
      <c r="K77" s="10">
        <v>7</v>
      </c>
      <c r="L77" s="10" t="s">
        <v>952</v>
      </c>
      <c r="M77" s="10" t="s">
        <v>953</v>
      </c>
      <c r="N77" s="10">
        <v>229</v>
      </c>
      <c r="O77" s="10" t="s">
        <v>1949</v>
      </c>
      <c r="P77" s="13">
        <v>46035</v>
      </c>
    </row>
    <row r="78" spans="1:16" x14ac:dyDescent="0.25">
      <c r="A78" s="10" t="s">
        <v>395</v>
      </c>
      <c r="B78" s="10" t="s">
        <v>311</v>
      </c>
      <c r="C78" s="10" t="s">
        <v>59</v>
      </c>
      <c r="D78" s="10" t="s">
        <v>390</v>
      </c>
      <c r="E78" s="10">
        <v>9610765474</v>
      </c>
      <c r="F78" s="11">
        <v>0.15363425925925925</v>
      </c>
      <c r="G78" s="10">
        <v>221.23</v>
      </c>
      <c r="H78" s="10">
        <v>18.260000000000002</v>
      </c>
      <c r="I78" s="12">
        <v>84.338483796296302</v>
      </c>
      <c r="J78" s="10">
        <v>14</v>
      </c>
      <c r="K78" s="10">
        <v>2</v>
      </c>
      <c r="L78" s="10" t="s">
        <v>1230</v>
      </c>
      <c r="M78" s="10" t="s">
        <v>1231</v>
      </c>
      <c r="N78" s="10">
        <v>-98</v>
      </c>
      <c r="O78" s="10" t="s">
        <v>1950</v>
      </c>
      <c r="P78" s="13">
        <v>45994</v>
      </c>
    </row>
    <row r="79" spans="1:16" x14ac:dyDescent="0.25">
      <c r="A79" s="10" t="s">
        <v>396</v>
      </c>
      <c r="B79" s="10" t="s">
        <v>311</v>
      </c>
      <c r="C79" s="10" t="s">
        <v>29</v>
      </c>
      <c r="D79" s="10" t="s">
        <v>312</v>
      </c>
      <c r="E79" s="10">
        <v>9820914808</v>
      </c>
      <c r="F79" s="12">
        <v>6.5878935185185181</v>
      </c>
      <c r="G79" s="10">
        <v>846.57</v>
      </c>
      <c r="H79" s="10">
        <v>4597.43</v>
      </c>
      <c r="I79" s="12">
        <v>84.29965277777778</v>
      </c>
      <c r="J79" s="10">
        <v>48</v>
      </c>
      <c r="K79" s="10">
        <v>10</v>
      </c>
      <c r="L79" s="10" t="s">
        <v>825</v>
      </c>
      <c r="M79" s="10" t="s">
        <v>826</v>
      </c>
      <c r="N79" s="10">
        <v>157</v>
      </c>
      <c r="O79" s="10" t="s">
        <v>1949</v>
      </c>
      <c r="P79" s="13">
        <v>46057</v>
      </c>
    </row>
    <row r="80" spans="1:16" x14ac:dyDescent="0.25">
      <c r="A80" s="10" t="s">
        <v>397</v>
      </c>
      <c r="B80" s="10" t="s">
        <v>311</v>
      </c>
      <c r="C80" s="10" t="s">
        <v>29</v>
      </c>
      <c r="D80" s="10" t="s">
        <v>312</v>
      </c>
      <c r="E80" s="10">
        <v>9820914808</v>
      </c>
      <c r="F80" s="12">
        <v>3.3946990740740741</v>
      </c>
      <c r="G80" s="10">
        <v>568.37</v>
      </c>
      <c r="H80" s="10">
        <v>935.78</v>
      </c>
      <c r="I80" s="12">
        <v>84.29965277777778</v>
      </c>
      <c r="J80" s="10">
        <v>26</v>
      </c>
      <c r="K80" s="10">
        <v>9</v>
      </c>
      <c r="L80" s="10" t="s">
        <v>1000</v>
      </c>
      <c r="M80" s="10" t="s">
        <v>1001</v>
      </c>
      <c r="N80" s="10">
        <v>168</v>
      </c>
      <c r="O80" s="10" t="s">
        <v>1949</v>
      </c>
      <c r="P80" s="13">
        <v>46106</v>
      </c>
    </row>
    <row r="81" spans="1:16" x14ac:dyDescent="0.25">
      <c r="A81" s="10" t="s">
        <v>398</v>
      </c>
      <c r="B81" s="10" t="s">
        <v>311</v>
      </c>
      <c r="C81" s="10" t="s">
        <v>29</v>
      </c>
      <c r="D81" s="10" t="s">
        <v>312</v>
      </c>
      <c r="E81" s="10">
        <v>9820914808</v>
      </c>
      <c r="F81" s="12">
        <v>3.6797685185185185</v>
      </c>
      <c r="G81" s="10">
        <v>978.87</v>
      </c>
      <c r="H81" s="10">
        <v>606.13</v>
      </c>
      <c r="I81" s="12">
        <v>84.29965277777778</v>
      </c>
      <c r="J81" s="10">
        <v>51</v>
      </c>
      <c r="K81" s="10">
        <v>23</v>
      </c>
      <c r="L81" s="10" t="s">
        <v>817</v>
      </c>
      <c r="M81" s="10" t="s">
        <v>818</v>
      </c>
      <c r="N81" s="10">
        <v>148</v>
      </c>
      <c r="O81" s="10" t="s">
        <v>1949</v>
      </c>
      <c r="P81" s="13">
        <v>45908</v>
      </c>
    </row>
    <row r="82" spans="1:16" x14ac:dyDescent="0.25">
      <c r="A82" s="10" t="s">
        <v>399</v>
      </c>
      <c r="B82" s="10" t="s">
        <v>311</v>
      </c>
      <c r="C82" s="10" t="s">
        <v>29</v>
      </c>
      <c r="D82" s="10" t="s">
        <v>312</v>
      </c>
      <c r="E82" s="10">
        <v>9820914808</v>
      </c>
      <c r="F82" s="12">
        <v>2.8560763888888889</v>
      </c>
      <c r="G82" s="10">
        <v>1232.75</v>
      </c>
      <c r="H82" s="10">
        <v>598.13</v>
      </c>
      <c r="I82" s="12">
        <v>84.29965277777778</v>
      </c>
      <c r="J82" s="10">
        <v>27</v>
      </c>
      <c r="K82" s="10">
        <v>13</v>
      </c>
      <c r="L82" s="10" t="s">
        <v>988</v>
      </c>
      <c r="M82" s="10" t="s">
        <v>989</v>
      </c>
      <c r="N82" s="10">
        <v>130</v>
      </c>
      <c r="O82" s="10" t="s">
        <v>1949</v>
      </c>
      <c r="P82" s="13">
        <v>46092</v>
      </c>
    </row>
    <row r="83" spans="1:16" x14ac:dyDescent="0.25">
      <c r="A83" s="10" t="s">
        <v>400</v>
      </c>
      <c r="B83" s="10" t="s">
        <v>311</v>
      </c>
      <c r="C83" s="10" t="s">
        <v>58</v>
      </c>
      <c r="D83" s="10" t="s">
        <v>401</v>
      </c>
      <c r="E83" s="10">
        <v>9928023846</v>
      </c>
      <c r="F83" s="11">
        <v>0.18767361111111111</v>
      </c>
      <c r="G83" s="10">
        <v>270.25</v>
      </c>
      <c r="H83" s="10">
        <v>13.6</v>
      </c>
      <c r="I83" s="12">
        <v>84.338483796296302</v>
      </c>
      <c r="J83" s="10">
        <v>20</v>
      </c>
      <c r="K83" s="10">
        <v>4</v>
      </c>
      <c r="L83" s="10" t="s">
        <v>1102</v>
      </c>
      <c r="M83" s="10" t="s">
        <v>1103</v>
      </c>
      <c r="N83" s="10">
        <v>-98</v>
      </c>
      <c r="O83" s="10" t="s">
        <v>1949</v>
      </c>
      <c r="P83" s="13">
        <v>45791</v>
      </c>
    </row>
    <row r="84" spans="1:16" x14ac:dyDescent="0.25">
      <c r="A84" s="10" t="s">
        <v>402</v>
      </c>
      <c r="B84" s="10" t="s">
        <v>311</v>
      </c>
      <c r="C84" s="10" t="s">
        <v>58</v>
      </c>
      <c r="D84" s="10" t="s">
        <v>401</v>
      </c>
      <c r="E84" s="10">
        <v>9928023846</v>
      </c>
      <c r="F84" s="10" t="s">
        <v>309</v>
      </c>
      <c r="G84" s="10"/>
      <c r="H84" s="10">
        <v>0</v>
      </c>
      <c r="I84" s="12">
        <v>84.338483796296302</v>
      </c>
      <c r="J84" s="10">
        <v>6</v>
      </c>
      <c r="K84" s="10">
        <v>4</v>
      </c>
      <c r="L84" s="10" t="s">
        <v>1495</v>
      </c>
      <c r="M84" s="10" t="s">
        <v>1496</v>
      </c>
      <c r="N84" s="10">
        <v>-98</v>
      </c>
      <c r="O84" s="10" t="s">
        <v>1950</v>
      </c>
      <c r="P84" s="10"/>
    </row>
    <row r="85" spans="1:16" x14ac:dyDescent="0.25">
      <c r="A85" s="10" t="s">
        <v>403</v>
      </c>
      <c r="B85" s="10" t="s">
        <v>311</v>
      </c>
      <c r="C85" s="10" t="s">
        <v>29</v>
      </c>
      <c r="D85" s="10" t="s">
        <v>312</v>
      </c>
      <c r="E85" s="10">
        <v>9820914808</v>
      </c>
      <c r="F85" s="12">
        <v>1.0308449074074073</v>
      </c>
      <c r="G85" s="10">
        <v>44.42</v>
      </c>
      <c r="H85" s="10">
        <v>227.92</v>
      </c>
      <c r="I85" s="12">
        <v>84.29965277777778</v>
      </c>
      <c r="J85" s="10">
        <v>17</v>
      </c>
      <c r="K85" s="10">
        <v>4</v>
      </c>
      <c r="L85" s="10" t="s">
        <v>1160</v>
      </c>
      <c r="M85" s="10" t="s">
        <v>1161</v>
      </c>
      <c r="N85" s="10">
        <v>221</v>
      </c>
      <c r="O85" s="10" t="s">
        <v>1950</v>
      </c>
      <c r="P85" s="13">
        <v>45862</v>
      </c>
    </row>
    <row r="86" spans="1:16" x14ac:dyDescent="0.25">
      <c r="A86" s="10" t="s">
        <v>404</v>
      </c>
      <c r="B86" s="10" t="s">
        <v>311</v>
      </c>
      <c r="C86" s="10" t="s">
        <v>29</v>
      </c>
      <c r="D86" s="10" t="s">
        <v>312</v>
      </c>
      <c r="E86" s="10">
        <v>9820914808</v>
      </c>
      <c r="F86" s="11">
        <v>0.92208333333333337</v>
      </c>
      <c r="G86" s="10">
        <v>1327.8</v>
      </c>
      <c r="H86" s="10">
        <v>198.71</v>
      </c>
      <c r="I86" s="12">
        <v>84.29965277777778</v>
      </c>
      <c r="J86" s="10">
        <v>17</v>
      </c>
      <c r="K86" s="10">
        <v>0</v>
      </c>
      <c r="L86" s="10" t="s">
        <v>1154</v>
      </c>
      <c r="M86" s="10" t="s">
        <v>1155</v>
      </c>
      <c r="N86" s="10">
        <v>183</v>
      </c>
      <c r="O86" s="10" t="s">
        <v>1950</v>
      </c>
      <c r="P86" s="13">
        <v>46070</v>
      </c>
    </row>
    <row r="87" spans="1:16" x14ac:dyDescent="0.25">
      <c r="A87" s="10" t="s">
        <v>405</v>
      </c>
      <c r="B87" s="10" t="s">
        <v>311</v>
      </c>
      <c r="C87" s="10" t="s">
        <v>29</v>
      </c>
      <c r="D87" s="10" t="s">
        <v>312</v>
      </c>
      <c r="E87" s="10">
        <v>9820914808</v>
      </c>
      <c r="F87" s="11">
        <v>8.0636574074074069E-2</v>
      </c>
      <c r="G87" s="10">
        <v>116.12</v>
      </c>
      <c r="H87" s="10">
        <v>0</v>
      </c>
      <c r="I87" s="12">
        <v>84.29965277777778</v>
      </c>
      <c r="J87" s="10">
        <v>2</v>
      </c>
      <c r="K87" s="10">
        <v>0</v>
      </c>
      <c r="L87" s="10" t="s">
        <v>1781</v>
      </c>
      <c r="M87" s="10" t="s">
        <v>1782</v>
      </c>
      <c r="N87" s="10">
        <v>169</v>
      </c>
      <c r="O87" s="10" t="s">
        <v>1950</v>
      </c>
      <c r="P87" s="13">
        <v>45460</v>
      </c>
    </row>
    <row r="88" spans="1:16" x14ac:dyDescent="0.25">
      <c r="A88" s="10" t="s">
        <v>406</v>
      </c>
      <c r="B88" s="10" t="s">
        <v>311</v>
      </c>
      <c r="C88" s="10" t="s">
        <v>29</v>
      </c>
      <c r="D88" s="10" t="s">
        <v>312</v>
      </c>
      <c r="E88" s="10">
        <v>9820914808</v>
      </c>
      <c r="F88" s="12">
        <v>2.0485763888888888</v>
      </c>
      <c r="G88" s="10">
        <v>69.95</v>
      </c>
      <c r="H88" s="10">
        <v>34458793062.760002</v>
      </c>
      <c r="I88" s="12">
        <v>84.29965277777778</v>
      </c>
      <c r="J88" s="10">
        <v>42</v>
      </c>
      <c r="K88" s="10">
        <v>20</v>
      </c>
      <c r="L88" s="10" t="s">
        <v>841</v>
      </c>
      <c r="M88" s="10" t="s">
        <v>842</v>
      </c>
      <c r="N88" s="10">
        <v>220</v>
      </c>
      <c r="O88" s="10" t="s">
        <v>1949</v>
      </c>
      <c r="P88" s="13">
        <v>45752</v>
      </c>
    </row>
    <row r="89" spans="1:16" x14ac:dyDescent="0.25">
      <c r="A89" s="10" t="s">
        <v>407</v>
      </c>
      <c r="B89" s="10" t="s">
        <v>311</v>
      </c>
      <c r="C89" s="10" t="s">
        <v>29</v>
      </c>
      <c r="D89" s="10" t="s">
        <v>312</v>
      </c>
      <c r="E89" s="10">
        <v>9820914808</v>
      </c>
      <c r="F89" s="12">
        <v>2.5311689814814815</v>
      </c>
      <c r="G89" s="10">
        <v>764.88</v>
      </c>
      <c r="H89" s="10">
        <v>373.8</v>
      </c>
      <c r="I89" s="12">
        <v>84.29965277777778</v>
      </c>
      <c r="J89" s="10">
        <v>25</v>
      </c>
      <c r="K89" s="10">
        <v>9</v>
      </c>
      <c r="L89" s="10" t="s">
        <v>1022</v>
      </c>
      <c r="M89" s="10" t="s">
        <v>1023</v>
      </c>
      <c r="N89" s="10">
        <v>210</v>
      </c>
      <c r="O89" s="10" t="s">
        <v>1949</v>
      </c>
      <c r="P89" s="13">
        <v>46149</v>
      </c>
    </row>
    <row r="90" spans="1:16" x14ac:dyDescent="0.25">
      <c r="A90" s="10" t="s">
        <v>408</v>
      </c>
      <c r="B90" s="10" t="s">
        <v>311</v>
      </c>
      <c r="C90" s="10" t="s">
        <v>29</v>
      </c>
      <c r="D90" s="10" t="s">
        <v>312</v>
      </c>
      <c r="E90" s="10">
        <v>9820914808</v>
      </c>
      <c r="F90" s="12">
        <v>1.3619444444444444</v>
      </c>
      <c r="G90" s="10">
        <v>521.20000000000005</v>
      </c>
      <c r="H90" s="10">
        <v>362.83</v>
      </c>
      <c r="I90" s="12">
        <v>84.29965277777778</v>
      </c>
      <c r="J90" s="10">
        <v>19</v>
      </c>
      <c r="K90" s="10">
        <v>9</v>
      </c>
      <c r="L90" s="10" t="s">
        <v>1116</v>
      </c>
      <c r="M90" s="10" t="s">
        <v>1117</v>
      </c>
      <c r="N90" s="10">
        <v>95</v>
      </c>
      <c r="O90" s="10" t="s">
        <v>1949</v>
      </c>
      <c r="P90" s="13">
        <v>46011</v>
      </c>
    </row>
    <row r="91" spans="1:16" x14ac:dyDescent="0.25">
      <c r="A91" s="10" t="s">
        <v>409</v>
      </c>
      <c r="B91" s="10" t="s">
        <v>311</v>
      </c>
      <c r="C91" s="10" t="s">
        <v>29</v>
      </c>
      <c r="D91" s="10" t="s">
        <v>312</v>
      </c>
      <c r="E91" s="10">
        <v>9820914808</v>
      </c>
      <c r="F91" s="11">
        <v>0.59092592592592597</v>
      </c>
      <c r="G91" s="10">
        <v>850.93</v>
      </c>
      <c r="H91" s="10">
        <v>71.52</v>
      </c>
      <c r="I91" s="12">
        <v>84.29965277777778</v>
      </c>
      <c r="J91" s="10">
        <v>15</v>
      </c>
      <c r="K91" s="10">
        <v>5</v>
      </c>
      <c r="L91" s="10" t="s">
        <v>1208</v>
      </c>
      <c r="M91" s="10" t="s">
        <v>1209</v>
      </c>
      <c r="N91" s="10">
        <v>178</v>
      </c>
      <c r="O91" s="10" t="s">
        <v>1949</v>
      </c>
      <c r="P91" s="13">
        <v>46037</v>
      </c>
    </row>
    <row r="92" spans="1:16" x14ac:dyDescent="0.25">
      <c r="A92" s="10" t="s">
        <v>410</v>
      </c>
      <c r="B92" s="10" t="s">
        <v>311</v>
      </c>
      <c r="C92" s="10" t="s">
        <v>29</v>
      </c>
      <c r="D92" s="10" t="s">
        <v>312</v>
      </c>
      <c r="E92" s="10">
        <v>9820914808</v>
      </c>
      <c r="F92" s="12">
        <v>1.7109953703703704</v>
      </c>
      <c r="G92" s="10">
        <v>1023.83</v>
      </c>
      <c r="H92" s="10">
        <v>171.15</v>
      </c>
      <c r="I92" s="12">
        <v>84.29965277777778</v>
      </c>
      <c r="J92" s="10">
        <v>14</v>
      </c>
      <c r="K92" s="10">
        <v>4</v>
      </c>
      <c r="L92" s="10" t="s">
        <v>1232</v>
      </c>
      <c r="M92" s="10" t="s">
        <v>1233</v>
      </c>
      <c r="N92" s="10">
        <v>187</v>
      </c>
      <c r="O92" s="10" t="s">
        <v>1949</v>
      </c>
      <c r="P92" s="13">
        <v>46049</v>
      </c>
    </row>
    <row r="93" spans="1:16" x14ac:dyDescent="0.25">
      <c r="A93" s="10" t="s">
        <v>411</v>
      </c>
      <c r="B93" s="10" t="s">
        <v>311</v>
      </c>
      <c r="C93" s="10" t="s">
        <v>35</v>
      </c>
      <c r="D93" s="10" t="s">
        <v>368</v>
      </c>
      <c r="E93" s="10">
        <v>8448820535</v>
      </c>
      <c r="F93" s="12">
        <v>1.2065625</v>
      </c>
      <c r="G93" s="10">
        <v>297.45</v>
      </c>
      <c r="H93" s="10">
        <v>191.1</v>
      </c>
      <c r="I93" s="12">
        <v>84.334097222222226</v>
      </c>
      <c r="J93" s="10">
        <v>13</v>
      </c>
      <c r="K93" s="10">
        <v>0</v>
      </c>
      <c r="L93" s="10" t="s">
        <v>1259</v>
      </c>
      <c r="M93" s="10" t="s">
        <v>1260</v>
      </c>
      <c r="N93" s="10">
        <v>69</v>
      </c>
      <c r="O93" s="10" t="s">
        <v>1950</v>
      </c>
      <c r="P93" s="13">
        <v>45664</v>
      </c>
    </row>
    <row r="94" spans="1:16" x14ac:dyDescent="0.25">
      <c r="A94" s="10" t="s">
        <v>412</v>
      </c>
      <c r="B94" s="10" t="s">
        <v>311</v>
      </c>
      <c r="C94" s="10" t="s">
        <v>29</v>
      </c>
      <c r="D94" s="10" t="s">
        <v>312</v>
      </c>
      <c r="E94" s="10">
        <v>9820914808</v>
      </c>
      <c r="F94" s="11">
        <v>0.13702546296296297</v>
      </c>
      <c r="G94" s="10">
        <v>197.32</v>
      </c>
      <c r="H94" s="10">
        <v>10.37</v>
      </c>
      <c r="I94" s="12">
        <v>84.29965277777778</v>
      </c>
      <c r="J94" s="10">
        <v>18</v>
      </c>
      <c r="K94" s="10">
        <v>7</v>
      </c>
      <c r="L94" s="10" t="s">
        <v>1136</v>
      </c>
      <c r="M94" s="10" t="s">
        <v>1137</v>
      </c>
      <c r="N94" s="10">
        <v>150</v>
      </c>
      <c r="O94" s="10" t="s">
        <v>1949</v>
      </c>
      <c r="P94" s="13">
        <v>46150</v>
      </c>
    </row>
    <row r="95" spans="1:16" x14ac:dyDescent="0.25">
      <c r="A95" s="10" t="s">
        <v>413</v>
      </c>
      <c r="B95" s="10" t="s">
        <v>311</v>
      </c>
      <c r="C95" s="10" t="s">
        <v>29</v>
      </c>
      <c r="D95" s="10" t="s">
        <v>312</v>
      </c>
      <c r="E95" s="10">
        <v>9820914808</v>
      </c>
      <c r="F95" s="11">
        <v>1.9166666666666665E-2</v>
      </c>
      <c r="G95" s="10">
        <v>27.6</v>
      </c>
      <c r="H95" s="10">
        <v>1.49</v>
      </c>
      <c r="I95" s="12">
        <v>84.29965277777778</v>
      </c>
      <c r="J95" s="10">
        <v>1</v>
      </c>
      <c r="K95" s="10">
        <v>0</v>
      </c>
      <c r="L95" s="10" t="s">
        <v>1898</v>
      </c>
      <c r="M95" s="10" t="s">
        <v>1898</v>
      </c>
      <c r="N95" s="10">
        <v>179</v>
      </c>
      <c r="O95" s="10" t="s">
        <v>1950</v>
      </c>
      <c r="P95" s="13">
        <v>45773</v>
      </c>
    </row>
    <row r="96" spans="1:16" x14ac:dyDescent="0.25">
      <c r="A96" s="10" t="s">
        <v>414</v>
      </c>
      <c r="B96" s="10" t="s">
        <v>311</v>
      </c>
      <c r="C96" s="10" t="s">
        <v>29</v>
      </c>
      <c r="D96" s="10" t="s">
        <v>312</v>
      </c>
      <c r="E96" s="10">
        <v>9820914808</v>
      </c>
      <c r="F96" s="12">
        <v>1.2384722222222222</v>
      </c>
      <c r="G96" s="10">
        <v>343.4</v>
      </c>
      <c r="H96" s="10">
        <v>321.02999999999997</v>
      </c>
      <c r="I96" s="12">
        <v>84.29965277777778</v>
      </c>
      <c r="J96" s="10">
        <v>10</v>
      </c>
      <c r="K96" s="10">
        <v>2</v>
      </c>
      <c r="L96" s="10" t="s">
        <v>1344</v>
      </c>
      <c r="M96" s="10" t="s">
        <v>1345</v>
      </c>
      <c r="N96" s="10">
        <v>170</v>
      </c>
      <c r="O96" s="10" t="s">
        <v>1949</v>
      </c>
      <c r="P96" s="13">
        <v>46100</v>
      </c>
    </row>
    <row r="97" spans="1:16" x14ac:dyDescent="0.25">
      <c r="A97" s="10" t="s">
        <v>415</v>
      </c>
      <c r="B97" s="10" t="s">
        <v>311</v>
      </c>
      <c r="C97" s="10" t="s">
        <v>29</v>
      </c>
      <c r="D97" s="10" t="s">
        <v>312</v>
      </c>
      <c r="E97" s="10">
        <v>9820914808</v>
      </c>
      <c r="F97" s="11">
        <v>2.0960648148148148E-2</v>
      </c>
      <c r="G97" s="10">
        <v>30.18</v>
      </c>
      <c r="H97" s="10">
        <v>7.0000000000000007E-2</v>
      </c>
      <c r="I97" s="12">
        <v>84.29965277777778</v>
      </c>
      <c r="J97" s="10">
        <v>1</v>
      </c>
      <c r="K97" s="10">
        <v>0</v>
      </c>
      <c r="L97" s="10" t="s">
        <v>1926</v>
      </c>
      <c r="M97" s="10" t="s">
        <v>1926</v>
      </c>
      <c r="N97" s="10">
        <v>560</v>
      </c>
      <c r="O97" s="10" t="s">
        <v>1950</v>
      </c>
      <c r="P97" s="13">
        <v>45710</v>
      </c>
    </row>
    <row r="98" spans="1:16" x14ac:dyDescent="0.25">
      <c r="A98" s="10" t="s">
        <v>416</v>
      </c>
      <c r="B98" s="10" t="s">
        <v>311</v>
      </c>
      <c r="C98" s="10" t="s">
        <v>29</v>
      </c>
      <c r="D98" s="10" t="s">
        <v>312</v>
      </c>
      <c r="E98" s="10">
        <v>9820914808</v>
      </c>
      <c r="F98" s="11">
        <v>0.1194212962962963</v>
      </c>
      <c r="G98" s="10">
        <v>171.97</v>
      </c>
      <c r="H98" s="10">
        <v>0.9</v>
      </c>
      <c r="I98" s="12">
        <v>84.29965277777778</v>
      </c>
      <c r="J98" s="10">
        <v>11</v>
      </c>
      <c r="K98" s="10">
        <v>5</v>
      </c>
      <c r="L98" s="10" t="s">
        <v>1309</v>
      </c>
      <c r="M98" s="10" t="s">
        <v>1310</v>
      </c>
      <c r="N98" s="10">
        <v>144</v>
      </c>
      <c r="O98" s="10" t="s">
        <v>1950</v>
      </c>
      <c r="P98" s="13">
        <v>45820</v>
      </c>
    </row>
    <row r="99" spans="1:16" x14ac:dyDescent="0.25">
      <c r="A99" s="10" t="s">
        <v>417</v>
      </c>
      <c r="B99" s="10" t="s">
        <v>311</v>
      </c>
      <c r="C99" s="10" t="s">
        <v>29</v>
      </c>
      <c r="D99" s="10" t="s">
        <v>312</v>
      </c>
      <c r="E99" s="10">
        <v>9820914808</v>
      </c>
      <c r="F99" s="12">
        <v>2.1848726851851854</v>
      </c>
      <c r="G99" s="10">
        <v>266.22000000000003</v>
      </c>
      <c r="H99" s="10">
        <v>321.95999999999998</v>
      </c>
      <c r="I99" s="12">
        <v>84.29965277777778</v>
      </c>
      <c r="J99" s="10">
        <v>30</v>
      </c>
      <c r="K99" s="10">
        <v>1</v>
      </c>
      <c r="L99" s="10" t="s">
        <v>946</v>
      </c>
      <c r="M99" s="10" t="s">
        <v>947</v>
      </c>
      <c r="N99" s="10">
        <v>136</v>
      </c>
      <c r="O99" s="10" t="s">
        <v>1950</v>
      </c>
      <c r="P99" s="13">
        <v>46153</v>
      </c>
    </row>
    <row r="100" spans="1:16" x14ac:dyDescent="0.25">
      <c r="A100" s="10" t="s">
        <v>418</v>
      </c>
      <c r="B100" s="10" t="s">
        <v>311</v>
      </c>
      <c r="C100" s="10" t="s">
        <v>29</v>
      </c>
      <c r="D100" s="10" t="s">
        <v>312</v>
      </c>
      <c r="E100" s="10">
        <v>9820914808</v>
      </c>
      <c r="F100" s="12">
        <v>2.0779513888888888</v>
      </c>
      <c r="G100" s="10">
        <v>112.25</v>
      </c>
      <c r="H100" s="10">
        <v>367.6</v>
      </c>
      <c r="I100" s="12">
        <v>84.29965277777778</v>
      </c>
      <c r="J100" s="10">
        <v>25</v>
      </c>
      <c r="K100" s="10">
        <v>16</v>
      </c>
      <c r="L100" s="10" t="s">
        <v>1020</v>
      </c>
      <c r="M100" s="10" t="s">
        <v>1021</v>
      </c>
      <c r="N100" s="10">
        <v>174</v>
      </c>
      <c r="O100" s="10" t="s">
        <v>1949</v>
      </c>
      <c r="P100" s="13">
        <v>45943</v>
      </c>
    </row>
    <row r="101" spans="1:16" x14ac:dyDescent="0.25">
      <c r="A101" s="10" t="s">
        <v>419</v>
      </c>
      <c r="B101" s="10" t="s">
        <v>311</v>
      </c>
      <c r="C101" s="10" t="s">
        <v>29</v>
      </c>
      <c r="D101" s="10" t="s">
        <v>312</v>
      </c>
      <c r="E101" s="10">
        <v>9820914808</v>
      </c>
      <c r="F101" s="12">
        <v>1.6904745370370371</v>
      </c>
      <c r="G101" s="10">
        <v>994.28</v>
      </c>
      <c r="H101" s="10">
        <v>324.58999999999997</v>
      </c>
      <c r="I101" s="12">
        <v>84.29965277777778</v>
      </c>
      <c r="J101" s="10">
        <v>11</v>
      </c>
      <c r="K101" s="10">
        <v>4</v>
      </c>
      <c r="L101" s="10" t="s">
        <v>1315</v>
      </c>
      <c r="M101" s="10" t="s">
        <v>1316</v>
      </c>
      <c r="N101" s="10">
        <v>170</v>
      </c>
      <c r="O101" s="10" t="s">
        <v>1949</v>
      </c>
      <c r="P101" s="13">
        <v>45846</v>
      </c>
    </row>
    <row r="102" spans="1:16" x14ac:dyDescent="0.25">
      <c r="A102" s="10" t="s">
        <v>420</v>
      </c>
      <c r="B102" s="10" t="s">
        <v>311</v>
      </c>
      <c r="C102" s="10" t="s">
        <v>29</v>
      </c>
      <c r="D102" s="10" t="s">
        <v>312</v>
      </c>
      <c r="E102" s="10">
        <v>9820914808</v>
      </c>
      <c r="F102" s="12">
        <v>3.952962962962963</v>
      </c>
      <c r="G102" s="10">
        <v>1372.27</v>
      </c>
      <c r="H102" s="10">
        <v>621.61</v>
      </c>
      <c r="I102" s="12">
        <v>84.29965277777778</v>
      </c>
      <c r="J102" s="10">
        <v>53</v>
      </c>
      <c r="K102" s="10">
        <v>14</v>
      </c>
      <c r="L102" s="10" t="s">
        <v>814</v>
      </c>
      <c r="M102" s="10" t="s">
        <v>815</v>
      </c>
      <c r="N102" s="10">
        <v>146</v>
      </c>
      <c r="O102" s="10" t="s">
        <v>1949</v>
      </c>
      <c r="P102" s="13">
        <v>45956</v>
      </c>
    </row>
    <row r="103" spans="1:16" x14ac:dyDescent="0.25">
      <c r="A103" s="10" t="s">
        <v>421</v>
      </c>
      <c r="B103" s="10" t="s">
        <v>311</v>
      </c>
      <c r="C103" s="10" t="s">
        <v>29</v>
      </c>
      <c r="D103" s="10" t="s">
        <v>312</v>
      </c>
      <c r="E103" s="10">
        <v>9820914808</v>
      </c>
      <c r="F103" s="11">
        <v>0.99881944444444448</v>
      </c>
      <c r="G103" s="10">
        <v>1438.3</v>
      </c>
      <c r="H103" s="10">
        <v>167.44</v>
      </c>
      <c r="I103" s="12">
        <v>84.29965277777778</v>
      </c>
      <c r="J103" s="10">
        <v>17</v>
      </c>
      <c r="K103" s="10">
        <v>1</v>
      </c>
      <c r="L103" s="10" t="s">
        <v>1156</v>
      </c>
      <c r="M103" s="10" t="s">
        <v>1157</v>
      </c>
      <c r="N103" s="10">
        <v>193</v>
      </c>
      <c r="O103" s="10" t="s">
        <v>1950</v>
      </c>
      <c r="P103" s="13">
        <v>45939</v>
      </c>
    </row>
    <row r="104" spans="1:16" x14ac:dyDescent="0.25">
      <c r="A104" s="10" t="s">
        <v>422</v>
      </c>
      <c r="B104" s="10" t="s">
        <v>311</v>
      </c>
      <c r="C104" s="10" t="s">
        <v>29</v>
      </c>
      <c r="D104" s="10" t="s">
        <v>312</v>
      </c>
      <c r="E104" s="10">
        <v>9820914808</v>
      </c>
      <c r="F104" s="11">
        <v>0.48496527777777776</v>
      </c>
      <c r="G104" s="10">
        <v>698.35</v>
      </c>
      <c r="H104" s="10">
        <v>64.319999999999993</v>
      </c>
      <c r="I104" s="12">
        <v>84.29965277777778</v>
      </c>
      <c r="J104" s="10">
        <v>19</v>
      </c>
      <c r="K104" s="10">
        <v>6</v>
      </c>
      <c r="L104" s="10" t="s">
        <v>1124</v>
      </c>
      <c r="M104" s="10" t="s">
        <v>1125</v>
      </c>
      <c r="N104" s="10">
        <v>204</v>
      </c>
      <c r="O104" s="10" t="s">
        <v>1950</v>
      </c>
      <c r="P104" s="13">
        <v>46052</v>
      </c>
    </row>
    <row r="105" spans="1:16" x14ac:dyDescent="0.25">
      <c r="A105" s="10" t="s">
        <v>423</v>
      </c>
      <c r="B105" s="10" t="s">
        <v>311</v>
      </c>
      <c r="C105" s="10" t="s">
        <v>29</v>
      </c>
      <c r="D105" s="10" t="s">
        <v>312</v>
      </c>
      <c r="E105" s="10">
        <v>9820914808</v>
      </c>
      <c r="F105" s="12">
        <v>1.3226388888888889</v>
      </c>
      <c r="G105" s="10">
        <v>464.6</v>
      </c>
      <c r="H105" s="10">
        <v>197.86</v>
      </c>
      <c r="I105" s="12">
        <v>84.29965277777778</v>
      </c>
      <c r="J105" s="10">
        <v>22</v>
      </c>
      <c r="K105" s="10">
        <v>8</v>
      </c>
      <c r="L105" s="10" t="s">
        <v>1070</v>
      </c>
      <c r="M105" s="10" t="s">
        <v>1071</v>
      </c>
      <c r="N105" s="10">
        <v>173</v>
      </c>
      <c r="O105" s="10" t="s">
        <v>1949</v>
      </c>
      <c r="P105" s="13">
        <v>45949</v>
      </c>
    </row>
    <row r="106" spans="1:16" x14ac:dyDescent="0.25">
      <c r="A106" s="10" t="s">
        <v>424</v>
      </c>
      <c r="B106" s="10" t="s">
        <v>311</v>
      </c>
      <c r="C106" s="10" t="s">
        <v>29</v>
      </c>
      <c r="D106" s="10" t="s">
        <v>312</v>
      </c>
      <c r="E106" s="10">
        <v>9820914808</v>
      </c>
      <c r="F106" s="11">
        <v>0.52115740740740746</v>
      </c>
      <c r="G106" s="10">
        <v>750.47</v>
      </c>
      <c r="H106" s="10">
        <v>44.83</v>
      </c>
      <c r="I106" s="12">
        <v>84.29965277777778</v>
      </c>
      <c r="J106" s="10">
        <v>33</v>
      </c>
      <c r="K106" s="10">
        <v>12</v>
      </c>
      <c r="L106" s="10" t="s">
        <v>918</v>
      </c>
      <c r="M106" s="10" t="s">
        <v>919</v>
      </c>
      <c r="N106" s="10">
        <v>233</v>
      </c>
      <c r="O106" s="10" t="s">
        <v>1950</v>
      </c>
      <c r="P106" s="13">
        <v>46060</v>
      </c>
    </row>
    <row r="107" spans="1:16" x14ac:dyDescent="0.25">
      <c r="A107" s="10" t="s">
        <v>425</v>
      </c>
      <c r="B107" s="10" t="s">
        <v>311</v>
      </c>
      <c r="C107" s="10" t="s">
        <v>29</v>
      </c>
      <c r="D107" s="10" t="s">
        <v>312</v>
      </c>
      <c r="E107" s="10">
        <v>9820914808</v>
      </c>
      <c r="F107" s="12">
        <v>2.8910648148148148</v>
      </c>
      <c r="G107" s="10">
        <v>1283.1300000000001</v>
      </c>
      <c r="H107" s="10">
        <v>239.57</v>
      </c>
      <c r="I107" s="12">
        <v>84.29965277777778</v>
      </c>
      <c r="J107" s="10">
        <v>11</v>
      </c>
      <c r="K107" s="10">
        <v>0</v>
      </c>
      <c r="L107" s="10" t="s">
        <v>1311</v>
      </c>
      <c r="M107" s="10" t="s">
        <v>1312</v>
      </c>
      <c r="N107" s="10">
        <v>153</v>
      </c>
      <c r="O107" s="10" t="s">
        <v>1950</v>
      </c>
      <c r="P107" s="13">
        <v>46045</v>
      </c>
    </row>
    <row r="108" spans="1:16" x14ac:dyDescent="0.25">
      <c r="A108" s="10" t="s">
        <v>426</v>
      </c>
      <c r="B108" s="10" t="s">
        <v>311</v>
      </c>
      <c r="C108" s="10" t="s">
        <v>29</v>
      </c>
      <c r="D108" s="10" t="s">
        <v>312</v>
      </c>
      <c r="E108" s="10">
        <v>9820914808</v>
      </c>
      <c r="F108" s="12">
        <v>2.0851967592592593</v>
      </c>
      <c r="G108" s="10">
        <v>122.68</v>
      </c>
      <c r="H108" s="10">
        <v>391.38</v>
      </c>
      <c r="I108" s="12">
        <v>84.29965277777778</v>
      </c>
      <c r="J108" s="10">
        <v>28</v>
      </c>
      <c r="K108" s="10">
        <v>18</v>
      </c>
      <c r="L108" s="10" t="s">
        <v>978</v>
      </c>
      <c r="M108" s="10" t="s">
        <v>979</v>
      </c>
      <c r="N108" s="10">
        <v>162</v>
      </c>
      <c r="O108" s="10" t="s">
        <v>1949</v>
      </c>
      <c r="P108" s="13">
        <v>46059</v>
      </c>
    </row>
    <row r="109" spans="1:16" x14ac:dyDescent="0.25">
      <c r="A109" s="10" t="s">
        <v>427</v>
      </c>
      <c r="B109" s="10" t="s">
        <v>311</v>
      </c>
      <c r="C109" s="10" t="s">
        <v>29</v>
      </c>
      <c r="D109" s="10" t="s">
        <v>312</v>
      </c>
      <c r="E109" s="10">
        <v>9820914808</v>
      </c>
      <c r="F109" s="11">
        <v>0.54876157407407411</v>
      </c>
      <c r="G109" s="10">
        <v>790.22</v>
      </c>
      <c r="H109" s="10">
        <v>68.739999999999995</v>
      </c>
      <c r="I109" s="12">
        <v>84.29965277777778</v>
      </c>
      <c r="J109" s="10">
        <v>16</v>
      </c>
      <c r="K109" s="10">
        <v>12</v>
      </c>
      <c r="L109" s="10" t="s">
        <v>1176</v>
      </c>
      <c r="M109" s="10" t="s">
        <v>1177</v>
      </c>
      <c r="N109" s="10">
        <v>172</v>
      </c>
      <c r="O109" s="10" t="s">
        <v>1949</v>
      </c>
      <c r="P109" s="13">
        <v>46065</v>
      </c>
    </row>
    <row r="110" spans="1:16" x14ac:dyDescent="0.25">
      <c r="A110" s="10" t="s">
        <v>428</v>
      </c>
      <c r="B110" s="10" t="s">
        <v>311</v>
      </c>
      <c r="C110" s="10" t="s">
        <v>29</v>
      </c>
      <c r="D110" s="10" t="s">
        <v>312</v>
      </c>
      <c r="E110" s="10">
        <v>9820914808</v>
      </c>
      <c r="F110" s="11">
        <v>0.61530092592592589</v>
      </c>
      <c r="G110" s="10">
        <v>886.03</v>
      </c>
      <c r="H110" s="10">
        <v>47.37</v>
      </c>
      <c r="I110" s="12">
        <v>84.29965277777778</v>
      </c>
      <c r="J110" s="10">
        <v>19</v>
      </c>
      <c r="K110" s="10">
        <v>5</v>
      </c>
      <c r="L110" s="10" t="s">
        <v>1118</v>
      </c>
      <c r="M110" s="10" t="s">
        <v>1119</v>
      </c>
      <c r="N110" s="10">
        <v>149</v>
      </c>
      <c r="O110" s="10" t="s">
        <v>1950</v>
      </c>
      <c r="P110" s="13">
        <v>45857</v>
      </c>
    </row>
    <row r="111" spans="1:16" x14ac:dyDescent="0.25">
      <c r="A111" s="10" t="s">
        <v>429</v>
      </c>
      <c r="B111" s="10" t="s">
        <v>311</v>
      </c>
      <c r="C111" s="10" t="s">
        <v>29</v>
      </c>
      <c r="D111" s="10" t="s">
        <v>312</v>
      </c>
      <c r="E111" s="10">
        <v>9820914808</v>
      </c>
      <c r="F111" s="12">
        <v>6.4486111111111111</v>
      </c>
      <c r="G111" s="10">
        <v>646</v>
      </c>
      <c r="H111" s="10">
        <v>1476.99</v>
      </c>
      <c r="I111" s="12">
        <v>84.29965277777778</v>
      </c>
      <c r="J111" s="10">
        <v>19</v>
      </c>
      <c r="K111" s="10">
        <v>3</v>
      </c>
      <c r="L111" s="10" t="s">
        <v>1120</v>
      </c>
      <c r="M111" s="10" t="s">
        <v>1121</v>
      </c>
      <c r="N111" s="10">
        <v>152</v>
      </c>
      <c r="O111" s="10" t="s">
        <v>1949</v>
      </c>
      <c r="P111" s="13">
        <v>45935</v>
      </c>
    </row>
    <row r="112" spans="1:16" x14ac:dyDescent="0.25">
      <c r="A112" s="10" t="s">
        <v>430</v>
      </c>
      <c r="B112" s="10" t="s">
        <v>311</v>
      </c>
      <c r="C112" s="10" t="s">
        <v>29</v>
      </c>
      <c r="D112" s="10" t="s">
        <v>312</v>
      </c>
      <c r="E112" s="10">
        <v>9820914808</v>
      </c>
      <c r="F112" s="12">
        <v>4.8441087962962959</v>
      </c>
      <c r="G112" s="10">
        <v>1215.52</v>
      </c>
      <c r="H112" s="10">
        <v>778.71</v>
      </c>
      <c r="I112" s="12">
        <v>84.29965277777778</v>
      </c>
      <c r="J112" s="10">
        <v>33</v>
      </c>
      <c r="K112" s="10">
        <v>7</v>
      </c>
      <c r="L112" s="10" t="s">
        <v>914</v>
      </c>
      <c r="M112" s="10" t="s">
        <v>915</v>
      </c>
      <c r="N112" s="10">
        <v>177</v>
      </c>
      <c r="O112" s="10" t="s">
        <v>1949</v>
      </c>
      <c r="P112" s="13">
        <v>45994</v>
      </c>
    </row>
    <row r="113" spans="1:16" x14ac:dyDescent="0.25">
      <c r="A113" s="10" t="s">
        <v>431</v>
      </c>
      <c r="B113" s="10" t="s">
        <v>311</v>
      </c>
      <c r="C113" s="10" t="s">
        <v>29</v>
      </c>
      <c r="D113" s="10" t="s">
        <v>312</v>
      </c>
      <c r="E113" s="10">
        <v>9820914808</v>
      </c>
      <c r="F113" s="12">
        <v>5.1363310185185185</v>
      </c>
      <c r="G113" s="10">
        <v>196.32</v>
      </c>
      <c r="H113" s="10">
        <v>974.77</v>
      </c>
      <c r="I113" s="12">
        <v>84.29965277777778</v>
      </c>
      <c r="J113" s="10">
        <v>26</v>
      </c>
      <c r="K113" s="10">
        <v>9</v>
      </c>
      <c r="L113" s="10" t="s">
        <v>1002</v>
      </c>
      <c r="M113" s="10" t="s">
        <v>1003</v>
      </c>
      <c r="N113" s="10">
        <v>175</v>
      </c>
      <c r="O113" s="10" t="s">
        <v>1950</v>
      </c>
      <c r="P113" s="13">
        <v>46048</v>
      </c>
    </row>
    <row r="114" spans="1:16" x14ac:dyDescent="0.25">
      <c r="A114" s="10" t="s">
        <v>432</v>
      </c>
      <c r="B114" s="10" t="s">
        <v>311</v>
      </c>
      <c r="C114" s="10" t="s">
        <v>35</v>
      </c>
      <c r="D114" s="10" t="s">
        <v>368</v>
      </c>
      <c r="E114" s="10">
        <v>8448820535</v>
      </c>
      <c r="F114" s="11">
        <v>0.34943287037037035</v>
      </c>
      <c r="G114" s="10">
        <v>503.18</v>
      </c>
      <c r="H114" s="10">
        <v>32.99</v>
      </c>
      <c r="I114" s="12">
        <v>84.334097222222226</v>
      </c>
      <c r="J114" s="10">
        <v>14</v>
      </c>
      <c r="K114" s="10">
        <v>0</v>
      </c>
      <c r="L114" s="10" t="s">
        <v>1228</v>
      </c>
      <c r="M114" s="10" t="s">
        <v>1229</v>
      </c>
      <c r="N114" s="10">
        <v>103</v>
      </c>
      <c r="O114" s="10" t="s">
        <v>1950</v>
      </c>
      <c r="P114" s="13">
        <v>45528</v>
      </c>
    </row>
    <row r="115" spans="1:16" x14ac:dyDescent="0.25">
      <c r="A115" s="10" t="s">
        <v>433</v>
      </c>
      <c r="B115" s="10" t="s">
        <v>311</v>
      </c>
      <c r="C115" s="10" t="s">
        <v>29</v>
      </c>
      <c r="D115" s="10" t="s">
        <v>312</v>
      </c>
      <c r="E115" s="10">
        <v>9820914808</v>
      </c>
      <c r="F115" s="12">
        <v>5.2602083333333329</v>
      </c>
      <c r="G115" s="10">
        <v>374.7</v>
      </c>
      <c r="H115" s="10">
        <v>719.76</v>
      </c>
      <c r="I115" s="12">
        <v>84.29965277777778</v>
      </c>
      <c r="J115" s="10">
        <v>22</v>
      </c>
      <c r="K115" s="10">
        <v>6</v>
      </c>
      <c r="L115" s="10" t="s">
        <v>1064</v>
      </c>
      <c r="M115" s="10" t="s">
        <v>1065</v>
      </c>
      <c r="N115" s="10">
        <v>149</v>
      </c>
      <c r="O115" s="10" t="s">
        <v>1950</v>
      </c>
      <c r="P115" s="13">
        <v>45990</v>
      </c>
    </row>
    <row r="116" spans="1:16" x14ac:dyDescent="0.25">
      <c r="A116" s="10" t="s">
        <v>434</v>
      </c>
      <c r="B116" s="10" t="s">
        <v>311</v>
      </c>
      <c r="C116" s="10" t="s">
        <v>29</v>
      </c>
      <c r="D116" s="10" t="s">
        <v>312</v>
      </c>
      <c r="E116" s="10">
        <v>9820914808</v>
      </c>
      <c r="F116" s="12">
        <v>1.8613425925925926</v>
      </c>
      <c r="G116" s="10">
        <v>1240.33</v>
      </c>
      <c r="H116" s="10">
        <v>369.29</v>
      </c>
      <c r="I116" s="12">
        <v>84.29965277777778</v>
      </c>
      <c r="J116" s="10">
        <v>38</v>
      </c>
      <c r="K116" s="10">
        <v>15</v>
      </c>
      <c r="L116" s="10" t="s">
        <v>868</v>
      </c>
      <c r="M116" s="10" t="s">
        <v>869</v>
      </c>
      <c r="N116" s="10">
        <v>168</v>
      </c>
      <c r="O116" s="10" t="s">
        <v>1949</v>
      </c>
      <c r="P116" s="13">
        <v>45994</v>
      </c>
    </row>
    <row r="117" spans="1:16" x14ac:dyDescent="0.25">
      <c r="A117" s="10" t="s">
        <v>435</v>
      </c>
      <c r="B117" s="10" t="s">
        <v>311</v>
      </c>
      <c r="C117" s="10" t="s">
        <v>46</v>
      </c>
      <c r="D117" s="10" t="s">
        <v>436</v>
      </c>
      <c r="E117" s="10">
        <v>9824004651</v>
      </c>
      <c r="F117" s="11">
        <v>4.1342592592592591E-2</v>
      </c>
      <c r="G117" s="10">
        <v>59.53</v>
      </c>
      <c r="H117" s="10">
        <v>0.84</v>
      </c>
      <c r="I117" s="12">
        <v>84.337824074074078</v>
      </c>
      <c r="J117" s="10">
        <v>1</v>
      </c>
      <c r="K117" s="10">
        <v>0</v>
      </c>
      <c r="L117" s="10" t="s">
        <v>1897</v>
      </c>
      <c r="M117" s="10" t="s">
        <v>1897</v>
      </c>
      <c r="N117" s="10">
        <v>-40</v>
      </c>
      <c r="O117" s="10" t="s">
        <v>1950</v>
      </c>
      <c r="P117" s="13">
        <v>45782</v>
      </c>
    </row>
    <row r="118" spans="1:16" x14ac:dyDescent="0.25">
      <c r="A118" s="10" t="s">
        <v>437</v>
      </c>
      <c r="B118" s="10" t="s">
        <v>311</v>
      </c>
      <c r="C118" s="10" t="s">
        <v>29</v>
      </c>
      <c r="D118" s="10" t="s">
        <v>312</v>
      </c>
      <c r="E118" s="10">
        <v>9820914808</v>
      </c>
      <c r="F118" s="12">
        <v>2.9927314814814814</v>
      </c>
      <c r="G118" s="10">
        <v>1429.53</v>
      </c>
      <c r="H118" s="10">
        <v>938.46</v>
      </c>
      <c r="I118" s="12">
        <v>84.29965277777778</v>
      </c>
      <c r="J118" s="10">
        <v>71</v>
      </c>
      <c r="K118" s="10">
        <v>17</v>
      </c>
      <c r="L118" s="10" t="s">
        <v>793</v>
      </c>
      <c r="M118" s="10" t="s">
        <v>794</v>
      </c>
      <c r="N118" s="10">
        <v>173</v>
      </c>
      <c r="O118" s="10" t="s">
        <v>1950</v>
      </c>
      <c r="P118" s="13">
        <v>46111</v>
      </c>
    </row>
    <row r="119" spans="1:16" x14ac:dyDescent="0.25">
      <c r="A119" s="10" t="s">
        <v>438</v>
      </c>
      <c r="B119" s="10" t="s">
        <v>311</v>
      </c>
      <c r="C119" s="10" t="s">
        <v>29</v>
      </c>
      <c r="D119" s="10" t="s">
        <v>312</v>
      </c>
      <c r="E119" s="10">
        <v>9820914808</v>
      </c>
      <c r="F119" s="12">
        <v>2.095011574074074</v>
      </c>
      <c r="G119" s="10">
        <v>136.82</v>
      </c>
      <c r="H119" s="10">
        <v>273.20999999999998</v>
      </c>
      <c r="I119" s="12">
        <v>84.29965277777778</v>
      </c>
      <c r="J119" s="10">
        <v>21</v>
      </c>
      <c r="K119" s="10">
        <v>6</v>
      </c>
      <c r="L119" s="10" t="s">
        <v>1090</v>
      </c>
      <c r="M119" s="10" t="s">
        <v>1091</v>
      </c>
      <c r="N119" s="10">
        <v>207</v>
      </c>
      <c r="O119" s="10" t="s">
        <v>1950</v>
      </c>
      <c r="P119" s="13">
        <v>46055</v>
      </c>
    </row>
    <row r="120" spans="1:16" x14ac:dyDescent="0.25">
      <c r="A120" s="10" t="s">
        <v>439</v>
      </c>
      <c r="B120" s="10" t="s">
        <v>311</v>
      </c>
      <c r="C120" s="10" t="s">
        <v>46</v>
      </c>
      <c r="D120" s="10" t="s">
        <v>436</v>
      </c>
      <c r="E120" s="10">
        <v>9824004651</v>
      </c>
      <c r="F120" s="11">
        <v>1.5960648148148147E-2</v>
      </c>
      <c r="G120" s="10">
        <v>22.98</v>
      </c>
      <c r="H120" s="10">
        <v>0.4</v>
      </c>
      <c r="I120" s="12">
        <v>84.337824074074078</v>
      </c>
      <c r="J120" s="10">
        <v>2</v>
      </c>
      <c r="K120" s="10">
        <v>0</v>
      </c>
      <c r="L120" s="10" t="s">
        <v>1783</v>
      </c>
      <c r="M120" s="10" t="s">
        <v>1784</v>
      </c>
      <c r="N120" s="10">
        <v>-40</v>
      </c>
      <c r="O120" s="10" t="s">
        <v>1950</v>
      </c>
      <c r="P120" s="13">
        <v>45540</v>
      </c>
    </row>
    <row r="121" spans="1:16" x14ac:dyDescent="0.25">
      <c r="A121" s="10" t="s">
        <v>440</v>
      </c>
      <c r="B121" s="10" t="s">
        <v>311</v>
      </c>
      <c r="C121" s="10" t="s">
        <v>29</v>
      </c>
      <c r="D121" s="10" t="s">
        <v>312</v>
      </c>
      <c r="E121" s="10">
        <v>9820914808</v>
      </c>
      <c r="F121" s="12">
        <v>11.138726851851851</v>
      </c>
      <c r="G121" s="10">
        <v>199.77</v>
      </c>
      <c r="H121" s="10">
        <v>2766.24</v>
      </c>
      <c r="I121" s="12">
        <v>84.29965277777778</v>
      </c>
      <c r="J121" s="10">
        <v>53</v>
      </c>
      <c r="K121" s="10">
        <v>18</v>
      </c>
      <c r="L121" s="10" t="s">
        <v>811</v>
      </c>
      <c r="M121" s="10" t="s">
        <v>812</v>
      </c>
      <c r="N121" s="10">
        <v>138</v>
      </c>
      <c r="O121" s="10" t="s">
        <v>1949</v>
      </c>
      <c r="P121" s="13">
        <v>46124</v>
      </c>
    </row>
    <row r="122" spans="1:16" x14ac:dyDescent="0.25">
      <c r="A122" s="10" t="s">
        <v>441</v>
      </c>
      <c r="B122" s="10" t="s">
        <v>311</v>
      </c>
      <c r="C122" s="10" t="s">
        <v>29</v>
      </c>
      <c r="D122" s="10" t="s">
        <v>312</v>
      </c>
      <c r="E122" s="10">
        <v>9820914808</v>
      </c>
      <c r="F122" s="12">
        <v>2.5380439814814815</v>
      </c>
      <c r="G122" s="10">
        <v>774.78</v>
      </c>
      <c r="H122" s="10">
        <v>554.29999999999995</v>
      </c>
      <c r="I122" s="12">
        <v>84.29965277777778</v>
      </c>
      <c r="J122" s="10">
        <v>39</v>
      </c>
      <c r="K122" s="10">
        <v>19</v>
      </c>
      <c r="L122" s="10" t="s">
        <v>858</v>
      </c>
      <c r="M122" s="10" t="s">
        <v>859</v>
      </c>
      <c r="N122" s="10">
        <v>172</v>
      </c>
      <c r="O122" s="10" t="s">
        <v>1949</v>
      </c>
      <c r="P122" s="13">
        <v>46006</v>
      </c>
    </row>
    <row r="123" spans="1:16" x14ac:dyDescent="0.25">
      <c r="A123" s="10" t="s">
        <v>442</v>
      </c>
      <c r="B123" s="10" t="s">
        <v>311</v>
      </c>
      <c r="C123" s="10" t="s">
        <v>29</v>
      </c>
      <c r="D123" s="10" t="s">
        <v>312</v>
      </c>
      <c r="E123" s="10">
        <v>9820914808</v>
      </c>
      <c r="F123" s="12">
        <v>3.002685185185185</v>
      </c>
      <c r="G123" s="10">
        <v>3.87</v>
      </c>
      <c r="H123" s="10">
        <v>565.53</v>
      </c>
      <c r="I123" s="12">
        <v>84.29965277777778</v>
      </c>
      <c r="J123" s="10">
        <v>32</v>
      </c>
      <c r="K123" s="10">
        <v>7</v>
      </c>
      <c r="L123" s="10" t="s">
        <v>928</v>
      </c>
      <c r="M123" s="10" t="s">
        <v>929</v>
      </c>
      <c r="N123" s="10">
        <v>197</v>
      </c>
      <c r="O123" s="10" t="s">
        <v>1949</v>
      </c>
      <c r="P123" s="13">
        <v>46058</v>
      </c>
    </row>
    <row r="124" spans="1:16" x14ac:dyDescent="0.25">
      <c r="A124" s="10" t="s">
        <v>443</v>
      </c>
      <c r="B124" s="10" t="s">
        <v>311</v>
      </c>
      <c r="C124" s="10" t="s">
        <v>29</v>
      </c>
      <c r="D124" s="10" t="s">
        <v>312</v>
      </c>
      <c r="E124" s="10">
        <v>9820914808</v>
      </c>
      <c r="F124" s="12">
        <v>7.2959490740740742</v>
      </c>
      <c r="G124" s="10">
        <v>426.17</v>
      </c>
      <c r="H124" s="10">
        <v>1423.02</v>
      </c>
      <c r="I124" s="12">
        <v>84.29965277777778</v>
      </c>
      <c r="J124" s="10">
        <v>45</v>
      </c>
      <c r="K124" s="10">
        <v>7</v>
      </c>
      <c r="L124" s="10" t="s">
        <v>831</v>
      </c>
      <c r="M124" s="10" t="s">
        <v>832</v>
      </c>
      <c r="N124" s="10">
        <v>216</v>
      </c>
      <c r="O124" s="10" t="s">
        <v>1950</v>
      </c>
      <c r="P124" s="13">
        <v>46099</v>
      </c>
    </row>
    <row r="125" spans="1:16" x14ac:dyDescent="0.25">
      <c r="A125" s="10" t="s">
        <v>444</v>
      </c>
      <c r="B125" s="10" t="s">
        <v>311</v>
      </c>
      <c r="C125" s="10" t="s">
        <v>29</v>
      </c>
      <c r="D125" s="10" t="s">
        <v>312</v>
      </c>
      <c r="E125" s="10">
        <v>9820914808</v>
      </c>
      <c r="F125" s="11">
        <v>0.76096064814814812</v>
      </c>
      <c r="G125" s="10">
        <v>1095.78</v>
      </c>
      <c r="H125" s="10">
        <v>102.59</v>
      </c>
      <c r="I125" s="12">
        <v>84.29965277777778</v>
      </c>
      <c r="J125" s="10">
        <v>12</v>
      </c>
      <c r="K125" s="10">
        <v>3</v>
      </c>
      <c r="L125" s="10" t="s">
        <v>1283</v>
      </c>
      <c r="M125" s="10" t="s">
        <v>1284</v>
      </c>
      <c r="N125" s="10">
        <v>159</v>
      </c>
      <c r="O125" s="10" t="s">
        <v>1950</v>
      </c>
      <c r="P125" s="13">
        <v>46034</v>
      </c>
    </row>
    <row r="126" spans="1:16" x14ac:dyDescent="0.25">
      <c r="A126" s="10" t="s">
        <v>445</v>
      </c>
      <c r="B126" s="10" t="s">
        <v>311</v>
      </c>
      <c r="C126" s="10" t="s">
        <v>29</v>
      </c>
      <c r="D126" s="10" t="s">
        <v>312</v>
      </c>
      <c r="E126" s="10">
        <v>9820914808</v>
      </c>
      <c r="F126" s="11">
        <v>0.64491898148148152</v>
      </c>
      <c r="G126" s="10">
        <v>928.68</v>
      </c>
      <c r="H126" s="10">
        <v>11.88</v>
      </c>
      <c r="I126" s="12">
        <v>84.29965277777778</v>
      </c>
      <c r="J126" s="10">
        <v>37</v>
      </c>
      <c r="K126" s="10">
        <v>7</v>
      </c>
      <c r="L126" s="10" t="s">
        <v>881</v>
      </c>
      <c r="M126" s="10" t="s">
        <v>882</v>
      </c>
      <c r="N126" s="10">
        <v>166</v>
      </c>
      <c r="O126" s="10" t="s">
        <v>1949</v>
      </c>
      <c r="P126" s="13">
        <v>46017</v>
      </c>
    </row>
    <row r="127" spans="1:16" x14ac:dyDescent="0.25">
      <c r="A127" s="10" t="s">
        <v>446</v>
      </c>
      <c r="B127" s="10" t="s">
        <v>311</v>
      </c>
      <c r="C127" s="10" t="s">
        <v>29</v>
      </c>
      <c r="D127" s="10" t="s">
        <v>312</v>
      </c>
      <c r="E127" s="10">
        <v>9820914808</v>
      </c>
      <c r="F127" s="12">
        <v>2.0770370370370372</v>
      </c>
      <c r="G127" s="10">
        <v>110.93</v>
      </c>
      <c r="H127" s="10">
        <v>453.78</v>
      </c>
      <c r="I127" s="12">
        <v>84.29965277777778</v>
      </c>
      <c r="J127" s="10">
        <v>25</v>
      </c>
      <c r="K127" s="10">
        <v>2</v>
      </c>
      <c r="L127" s="10" t="s">
        <v>1026</v>
      </c>
      <c r="M127" s="10" t="s">
        <v>1027</v>
      </c>
      <c r="N127" s="10">
        <v>216</v>
      </c>
      <c r="O127" s="10" t="s">
        <v>1950</v>
      </c>
      <c r="P127" s="13">
        <v>46030</v>
      </c>
    </row>
    <row r="128" spans="1:16" x14ac:dyDescent="0.25">
      <c r="A128" s="10" t="s">
        <v>447</v>
      </c>
      <c r="B128" s="10" t="s">
        <v>311</v>
      </c>
      <c r="C128" s="10" t="s">
        <v>29</v>
      </c>
      <c r="D128" s="10" t="s">
        <v>312</v>
      </c>
      <c r="E128" s="10">
        <v>9820914808</v>
      </c>
      <c r="F128" s="11">
        <v>0.33532407407407405</v>
      </c>
      <c r="G128" s="10">
        <v>482.87</v>
      </c>
      <c r="H128" s="10">
        <v>20.37</v>
      </c>
      <c r="I128" s="12">
        <v>84.29965277777778</v>
      </c>
      <c r="J128" s="10">
        <v>4</v>
      </c>
      <c r="K128" s="10">
        <v>0</v>
      </c>
      <c r="L128" s="10" t="s">
        <v>1608</v>
      </c>
      <c r="M128" s="10" t="s">
        <v>1609</v>
      </c>
      <c r="N128" s="10">
        <v>165</v>
      </c>
      <c r="O128" s="10" t="s">
        <v>1950</v>
      </c>
      <c r="P128" s="13">
        <v>45578</v>
      </c>
    </row>
    <row r="129" spans="1:16" x14ac:dyDescent="0.25">
      <c r="A129" s="10" t="s">
        <v>448</v>
      </c>
      <c r="B129" s="10" t="s">
        <v>311</v>
      </c>
      <c r="C129" s="10" t="s">
        <v>29</v>
      </c>
      <c r="D129" s="10" t="s">
        <v>312</v>
      </c>
      <c r="E129" s="10">
        <v>9820914808</v>
      </c>
      <c r="F129" s="11">
        <v>0.21042824074074074</v>
      </c>
      <c r="G129" s="10">
        <v>303.02</v>
      </c>
      <c r="H129" s="10">
        <v>9.5399999999999991</v>
      </c>
      <c r="I129" s="12">
        <v>84.29965277777778</v>
      </c>
      <c r="J129" s="10">
        <v>3</v>
      </c>
      <c r="K129" s="10">
        <v>0</v>
      </c>
      <c r="L129" s="10" t="s">
        <v>1709</v>
      </c>
      <c r="M129" s="10" t="s">
        <v>1710</v>
      </c>
      <c r="N129" s="10">
        <v>200</v>
      </c>
      <c r="O129" s="10" t="s">
        <v>1950</v>
      </c>
      <c r="P129" s="13">
        <v>45810</v>
      </c>
    </row>
    <row r="130" spans="1:16" x14ac:dyDescent="0.25">
      <c r="A130" s="10" t="s">
        <v>449</v>
      </c>
      <c r="B130" s="10" t="s">
        <v>311</v>
      </c>
      <c r="C130" s="10" t="s">
        <v>29</v>
      </c>
      <c r="D130" s="10" t="s">
        <v>312</v>
      </c>
      <c r="E130" s="10">
        <v>9820914808</v>
      </c>
      <c r="F130" s="12">
        <v>1.7010532407407408</v>
      </c>
      <c r="G130" s="10">
        <v>1009.52</v>
      </c>
      <c r="H130" s="10">
        <v>328.31</v>
      </c>
      <c r="I130" s="12">
        <v>84.29965277777778</v>
      </c>
      <c r="J130" s="10">
        <v>16</v>
      </c>
      <c r="K130" s="10">
        <v>5</v>
      </c>
      <c r="L130" s="10" t="s">
        <v>1180</v>
      </c>
      <c r="M130" s="10" t="s">
        <v>1181</v>
      </c>
      <c r="N130" s="10">
        <v>204</v>
      </c>
      <c r="O130" s="10" t="s">
        <v>1949</v>
      </c>
      <c r="P130" s="13">
        <v>45896</v>
      </c>
    </row>
    <row r="131" spans="1:16" x14ac:dyDescent="0.25">
      <c r="A131" s="10" t="s">
        <v>450</v>
      </c>
      <c r="B131" s="10" t="s">
        <v>311</v>
      </c>
      <c r="C131" s="10" t="s">
        <v>29</v>
      </c>
      <c r="D131" s="10" t="s">
        <v>312</v>
      </c>
      <c r="E131" s="10">
        <v>9820914808</v>
      </c>
      <c r="F131" s="12">
        <v>1.3267708333333332</v>
      </c>
      <c r="G131" s="10">
        <v>470.55</v>
      </c>
      <c r="H131" s="10">
        <v>60.93</v>
      </c>
      <c r="I131" s="12">
        <v>84.29965277777778</v>
      </c>
      <c r="J131" s="10">
        <v>17</v>
      </c>
      <c r="K131" s="10">
        <v>2</v>
      </c>
      <c r="L131" s="10" t="s">
        <v>1158</v>
      </c>
      <c r="M131" s="10" t="s">
        <v>1159</v>
      </c>
      <c r="N131" s="10">
        <v>206</v>
      </c>
      <c r="O131" s="10" t="s">
        <v>1950</v>
      </c>
      <c r="P131" s="13">
        <v>46036</v>
      </c>
    </row>
    <row r="132" spans="1:16" x14ac:dyDescent="0.25">
      <c r="A132" s="10" t="s">
        <v>451</v>
      </c>
      <c r="B132" s="10" t="s">
        <v>311</v>
      </c>
      <c r="C132" s="10" t="s">
        <v>29</v>
      </c>
      <c r="D132" s="10" t="s">
        <v>312</v>
      </c>
      <c r="E132" s="10">
        <v>9820914808</v>
      </c>
      <c r="F132" s="12">
        <v>5.5925578703703707</v>
      </c>
      <c r="G132" s="10">
        <v>853.28</v>
      </c>
      <c r="H132" s="10">
        <v>781.21</v>
      </c>
      <c r="I132" s="12">
        <v>84.29965277777778</v>
      </c>
      <c r="J132" s="10">
        <v>11</v>
      </c>
      <c r="K132" s="10">
        <v>1</v>
      </c>
      <c r="L132" s="10" t="s">
        <v>1317</v>
      </c>
      <c r="M132" s="10" t="s">
        <v>1318</v>
      </c>
      <c r="N132" s="10">
        <v>170</v>
      </c>
      <c r="O132" s="10" t="s">
        <v>1950</v>
      </c>
      <c r="P132" s="13">
        <v>46042</v>
      </c>
    </row>
    <row r="133" spans="1:16" x14ac:dyDescent="0.25">
      <c r="A133" s="10" t="s">
        <v>452</v>
      </c>
      <c r="B133" s="10" t="s">
        <v>311</v>
      </c>
      <c r="C133" s="10" t="s">
        <v>29</v>
      </c>
      <c r="D133" s="10" t="s">
        <v>312</v>
      </c>
      <c r="E133" s="10">
        <v>9820914808</v>
      </c>
      <c r="F133" s="12">
        <v>3.1051157407407408</v>
      </c>
      <c r="G133" s="10">
        <v>151.37</v>
      </c>
      <c r="H133" s="10">
        <v>696.91</v>
      </c>
      <c r="I133" s="12">
        <v>84.29965277777778</v>
      </c>
      <c r="J133" s="10">
        <v>39</v>
      </c>
      <c r="K133" s="10">
        <v>0</v>
      </c>
      <c r="L133" s="10" t="s">
        <v>860</v>
      </c>
      <c r="M133" s="10" t="s">
        <v>861</v>
      </c>
      <c r="N133" s="10">
        <v>212</v>
      </c>
      <c r="O133" s="10" t="s">
        <v>1950</v>
      </c>
      <c r="P133" s="13">
        <v>46147</v>
      </c>
    </row>
    <row r="134" spans="1:16" x14ac:dyDescent="0.25">
      <c r="A134" s="10" t="s">
        <v>453</v>
      </c>
      <c r="B134" s="10" t="s">
        <v>311</v>
      </c>
      <c r="C134" s="10" t="s">
        <v>46</v>
      </c>
      <c r="D134" s="10" t="s">
        <v>436</v>
      </c>
      <c r="E134" s="10">
        <v>9824004651</v>
      </c>
      <c r="F134" s="11">
        <v>4.7974537037037038E-2</v>
      </c>
      <c r="G134" s="10">
        <v>69.08</v>
      </c>
      <c r="H134" s="10">
        <v>0.32</v>
      </c>
      <c r="I134" s="12">
        <v>84.337824074074078</v>
      </c>
      <c r="J134" s="10">
        <v>2</v>
      </c>
      <c r="K134" s="10">
        <v>0</v>
      </c>
      <c r="L134" s="10" t="s">
        <v>1779</v>
      </c>
      <c r="M134" s="10" t="s">
        <v>1780</v>
      </c>
      <c r="N134" s="10">
        <v>-45</v>
      </c>
      <c r="O134" s="10" t="s">
        <v>1950</v>
      </c>
      <c r="P134" s="13">
        <v>45680</v>
      </c>
    </row>
    <row r="135" spans="1:16" x14ac:dyDescent="0.25">
      <c r="A135" s="10" t="s">
        <v>454</v>
      </c>
      <c r="B135" s="10" t="s">
        <v>311</v>
      </c>
      <c r="C135" s="10" t="s">
        <v>29</v>
      </c>
      <c r="D135" s="10" t="s">
        <v>312</v>
      </c>
      <c r="E135" s="10">
        <v>9820914808</v>
      </c>
      <c r="F135" s="12">
        <v>2.1857638888888888</v>
      </c>
      <c r="G135" s="10">
        <v>267.5</v>
      </c>
      <c r="H135" s="10">
        <v>368.58</v>
      </c>
      <c r="I135" s="12">
        <v>84.29965277777778</v>
      </c>
      <c r="J135" s="10">
        <v>29</v>
      </c>
      <c r="K135" s="10">
        <v>13</v>
      </c>
      <c r="L135" s="10" t="s">
        <v>960</v>
      </c>
      <c r="M135" s="10" t="s">
        <v>961</v>
      </c>
      <c r="N135" s="10">
        <v>162</v>
      </c>
      <c r="O135" s="10" t="s">
        <v>1949</v>
      </c>
      <c r="P135" s="13">
        <v>45759</v>
      </c>
    </row>
    <row r="136" spans="1:16" x14ac:dyDescent="0.25">
      <c r="A136" s="10" t="s">
        <v>455</v>
      </c>
      <c r="B136" s="10" t="s">
        <v>311</v>
      </c>
      <c r="C136" s="10" t="s">
        <v>29</v>
      </c>
      <c r="D136" s="10" t="s">
        <v>312</v>
      </c>
      <c r="E136" s="10">
        <v>9820914808</v>
      </c>
      <c r="F136" s="12">
        <v>2.2309606481481481</v>
      </c>
      <c r="G136" s="10">
        <v>332.58</v>
      </c>
      <c r="H136" s="10">
        <v>313.23</v>
      </c>
      <c r="I136" s="12">
        <v>84.29965277777778</v>
      </c>
      <c r="J136" s="10">
        <v>35</v>
      </c>
      <c r="K136" s="10">
        <v>13</v>
      </c>
      <c r="L136" s="10" t="s">
        <v>892</v>
      </c>
      <c r="M136" s="10" t="s">
        <v>893</v>
      </c>
      <c r="N136" s="10">
        <v>206</v>
      </c>
      <c r="O136" s="10" t="s">
        <v>1949</v>
      </c>
      <c r="P136" s="13">
        <v>46079</v>
      </c>
    </row>
    <row r="137" spans="1:16" x14ac:dyDescent="0.25">
      <c r="A137" s="10" t="s">
        <v>456</v>
      </c>
      <c r="B137" s="10" t="s">
        <v>311</v>
      </c>
      <c r="C137" s="10" t="s">
        <v>29</v>
      </c>
      <c r="D137" s="10" t="s">
        <v>312</v>
      </c>
      <c r="E137" s="10">
        <v>9820914808</v>
      </c>
      <c r="F137" s="12">
        <v>1.8277893518518518</v>
      </c>
      <c r="G137" s="10">
        <v>1192.02</v>
      </c>
      <c r="H137" s="10">
        <v>263.07</v>
      </c>
      <c r="I137" s="12">
        <v>84.29965277777778</v>
      </c>
      <c r="J137" s="10">
        <v>33</v>
      </c>
      <c r="K137" s="10">
        <v>9</v>
      </c>
      <c r="L137" s="10" t="s">
        <v>916</v>
      </c>
      <c r="M137" s="10" t="s">
        <v>917</v>
      </c>
      <c r="N137" s="10">
        <v>218</v>
      </c>
      <c r="O137" s="10" t="s">
        <v>1950</v>
      </c>
      <c r="P137" s="13">
        <v>46049</v>
      </c>
    </row>
    <row r="138" spans="1:16" x14ac:dyDescent="0.25">
      <c r="A138" s="10" t="s">
        <v>457</v>
      </c>
      <c r="B138" s="10" t="s">
        <v>311</v>
      </c>
      <c r="C138" s="10" t="s">
        <v>29</v>
      </c>
      <c r="D138" s="10" t="s">
        <v>312</v>
      </c>
      <c r="E138" s="10">
        <v>9820914808</v>
      </c>
      <c r="F138" s="11">
        <v>0.37391203703703701</v>
      </c>
      <c r="G138" s="10">
        <v>538.42999999999995</v>
      </c>
      <c r="H138" s="10">
        <v>65.56</v>
      </c>
      <c r="I138" s="12">
        <v>84.29965277777778</v>
      </c>
      <c r="J138" s="10">
        <v>5</v>
      </c>
      <c r="K138" s="10">
        <v>0</v>
      </c>
      <c r="L138" s="10" t="s">
        <v>1561</v>
      </c>
      <c r="M138" s="10" t="s">
        <v>1562</v>
      </c>
      <c r="N138" s="10">
        <v>192</v>
      </c>
      <c r="O138" s="10" t="s">
        <v>1950</v>
      </c>
      <c r="P138" s="13">
        <v>46055</v>
      </c>
    </row>
    <row r="139" spans="1:16" x14ac:dyDescent="0.25">
      <c r="A139" s="10" t="s">
        <v>458</v>
      </c>
      <c r="B139" s="10" t="s">
        <v>311</v>
      </c>
      <c r="C139" s="10" t="s">
        <v>29</v>
      </c>
      <c r="D139" s="10" t="s">
        <v>312</v>
      </c>
      <c r="E139" s="10">
        <v>9820914808</v>
      </c>
      <c r="F139" s="12">
        <v>1.1719791666666666</v>
      </c>
      <c r="G139" s="10">
        <v>247.65</v>
      </c>
      <c r="H139" s="10">
        <v>116.34</v>
      </c>
      <c r="I139" s="12">
        <v>84.29965277777778</v>
      </c>
      <c r="J139" s="10">
        <v>10</v>
      </c>
      <c r="K139" s="10">
        <v>0</v>
      </c>
      <c r="L139" s="10" t="s">
        <v>1348</v>
      </c>
      <c r="M139" s="10" t="s">
        <v>1349</v>
      </c>
      <c r="N139" s="10">
        <v>203</v>
      </c>
      <c r="O139" s="10" t="s">
        <v>1950</v>
      </c>
      <c r="P139" s="13">
        <v>46004</v>
      </c>
    </row>
    <row r="140" spans="1:16" x14ac:dyDescent="0.25">
      <c r="A140" s="10" t="s">
        <v>459</v>
      </c>
      <c r="B140" s="10" t="s">
        <v>311</v>
      </c>
      <c r="C140" s="10" t="s">
        <v>29</v>
      </c>
      <c r="D140" s="10" t="s">
        <v>312</v>
      </c>
      <c r="E140" s="10">
        <v>9820914808</v>
      </c>
      <c r="F140" s="12">
        <v>1.0275347222222222</v>
      </c>
      <c r="G140" s="10">
        <v>39.65</v>
      </c>
      <c r="H140" s="10">
        <v>181.07</v>
      </c>
      <c r="I140" s="12">
        <v>84.29965277777778</v>
      </c>
      <c r="J140" s="10">
        <v>14</v>
      </c>
      <c r="K140" s="10">
        <v>0</v>
      </c>
      <c r="L140" s="10" t="s">
        <v>1234</v>
      </c>
      <c r="M140" s="10" t="s">
        <v>1235</v>
      </c>
      <c r="N140" s="10">
        <v>191</v>
      </c>
      <c r="O140" s="10" t="s">
        <v>1950</v>
      </c>
      <c r="P140" s="13">
        <v>45926</v>
      </c>
    </row>
    <row r="141" spans="1:16" x14ac:dyDescent="0.25">
      <c r="A141" s="10" t="s">
        <v>460</v>
      </c>
      <c r="B141" s="10" t="s">
        <v>311</v>
      </c>
      <c r="C141" s="10" t="s">
        <v>29</v>
      </c>
      <c r="D141" s="10" t="s">
        <v>312</v>
      </c>
      <c r="E141" s="10">
        <v>9820914808</v>
      </c>
      <c r="F141" s="11">
        <v>0.84273148148148147</v>
      </c>
      <c r="G141" s="10">
        <v>1213.53</v>
      </c>
      <c r="H141" s="10">
        <v>80.39</v>
      </c>
      <c r="I141" s="12">
        <v>84.29965277777778</v>
      </c>
      <c r="J141" s="10">
        <v>24</v>
      </c>
      <c r="K141" s="10">
        <v>2</v>
      </c>
      <c r="L141" s="10" t="s">
        <v>1034</v>
      </c>
      <c r="M141" s="10" t="s">
        <v>1035</v>
      </c>
      <c r="N141" s="10">
        <v>205</v>
      </c>
      <c r="O141" s="10" t="s">
        <v>1949</v>
      </c>
      <c r="P141" s="13">
        <v>46111</v>
      </c>
    </row>
    <row r="142" spans="1:16" x14ac:dyDescent="0.25">
      <c r="A142" s="10" t="s">
        <v>461</v>
      </c>
      <c r="B142" s="10" t="s">
        <v>311</v>
      </c>
      <c r="C142" s="10" t="s">
        <v>29</v>
      </c>
      <c r="D142" s="10" t="s">
        <v>312</v>
      </c>
      <c r="E142" s="10">
        <v>9820914808</v>
      </c>
      <c r="F142" s="12">
        <v>6.0416435185185184</v>
      </c>
      <c r="G142" s="10">
        <v>59.97</v>
      </c>
      <c r="H142" s="10">
        <v>1342.3</v>
      </c>
      <c r="I142" s="12">
        <v>84.29965277777778</v>
      </c>
      <c r="J142" s="10">
        <v>34</v>
      </c>
      <c r="K142" s="10">
        <v>12</v>
      </c>
      <c r="L142" s="10" t="s">
        <v>902</v>
      </c>
      <c r="M142" s="10" t="s">
        <v>903</v>
      </c>
      <c r="N142" s="10">
        <v>181</v>
      </c>
      <c r="O142" s="10" t="s">
        <v>1950</v>
      </c>
      <c r="P142" s="13">
        <v>46154</v>
      </c>
    </row>
    <row r="143" spans="1:16" x14ac:dyDescent="0.25">
      <c r="A143" s="10" t="s">
        <v>462</v>
      </c>
      <c r="B143" s="10" t="s">
        <v>311</v>
      </c>
      <c r="C143" s="10" t="s">
        <v>29</v>
      </c>
      <c r="D143" s="10" t="s">
        <v>312</v>
      </c>
      <c r="E143" s="10">
        <v>9820914808</v>
      </c>
      <c r="F143" s="11">
        <v>8.6423611111111118E-2</v>
      </c>
      <c r="G143" s="10">
        <v>124.45</v>
      </c>
      <c r="H143" s="10">
        <v>3.63</v>
      </c>
      <c r="I143" s="12">
        <v>84.29965277777778</v>
      </c>
      <c r="J143" s="10">
        <v>6</v>
      </c>
      <c r="K143" s="10">
        <v>0</v>
      </c>
      <c r="L143" s="10" t="s">
        <v>1497</v>
      </c>
      <c r="M143" s="10" t="s">
        <v>1498</v>
      </c>
      <c r="N143" s="10">
        <v>149</v>
      </c>
      <c r="O143" s="10" t="s">
        <v>1950</v>
      </c>
      <c r="P143" s="13">
        <v>45930</v>
      </c>
    </row>
    <row r="144" spans="1:16" x14ac:dyDescent="0.25">
      <c r="A144" s="10" t="s">
        <v>463</v>
      </c>
      <c r="B144" s="10" t="s">
        <v>311</v>
      </c>
      <c r="C144" s="10" t="s">
        <v>29</v>
      </c>
      <c r="D144" s="10" t="s">
        <v>312</v>
      </c>
      <c r="E144" s="10">
        <v>9820914808</v>
      </c>
      <c r="F144" s="11">
        <v>0.73386574074074074</v>
      </c>
      <c r="G144" s="10">
        <v>1056.77</v>
      </c>
      <c r="H144" s="10">
        <v>89.4</v>
      </c>
      <c r="I144" s="12">
        <v>84.29965277777778</v>
      </c>
      <c r="J144" s="10">
        <v>13</v>
      </c>
      <c r="K144" s="10">
        <v>5</v>
      </c>
      <c r="L144" s="10" t="s">
        <v>1271</v>
      </c>
      <c r="M144" s="10" t="s">
        <v>1272</v>
      </c>
      <c r="N144" s="10">
        <v>273</v>
      </c>
      <c r="O144" s="10" t="s">
        <v>1949</v>
      </c>
      <c r="P144" s="13">
        <v>46095</v>
      </c>
    </row>
    <row r="145" spans="1:16" x14ac:dyDescent="0.25">
      <c r="A145" s="10" t="s">
        <v>464</v>
      </c>
      <c r="B145" s="10" t="s">
        <v>311</v>
      </c>
      <c r="C145" s="10" t="s">
        <v>29</v>
      </c>
      <c r="D145" s="10" t="s">
        <v>312</v>
      </c>
      <c r="E145" s="10">
        <v>9820914808</v>
      </c>
      <c r="F145" s="12">
        <v>4.0775694444444444</v>
      </c>
      <c r="G145" s="10">
        <v>111.7</v>
      </c>
      <c r="H145" s="10">
        <v>484.42</v>
      </c>
      <c r="I145" s="12">
        <v>84.29965277777778</v>
      </c>
      <c r="J145" s="10">
        <v>33</v>
      </c>
      <c r="K145" s="10">
        <v>8</v>
      </c>
      <c r="L145" s="10" t="s">
        <v>912</v>
      </c>
      <c r="M145" s="10" t="s">
        <v>913</v>
      </c>
      <c r="N145" s="10">
        <v>168</v>
      </c>
      <c r="O145" s="10" t="s">
        <v>1950</v>
      </c>
      <c r="P145" s="13">
        <v>45919</v>
      </c>
    </row>
    <row r="146" spans="1:16" x14ac:dyDescent="0.25">
      <c r="A146" s="10" t="s">
        <v>465</v>
      </c>
      <c r="B146" s="10" t="s">
        <v>311</v>
      </c>
      <c r="C146" s="10" t="s">
        <v>29</v>
      </c>
      <c r="D146" s="10" t="s">
        <v>312</v>
      </c>
      <c r="E146" s="10">
        <v>9820914808</v>
      </c>
      <c r="F146" s="11">
        <v>0.4871875</v>
      </c>
      <c r="G146" s="10">
        <v>701.55</v>
      </c>
      <c r="H146" s="10">
        <v>61.35</v>
      </c>
      <c r="I146" s="12">
        <v>84.29965277777778</v>
      </c>
      <c r="J146" s="10">
        <v>16</v>
      </c>
      <c r="K146" s="10">
        <v>4</v>
      </c>
      <c r="L146" s="10" t="s">
        <v>1182</v>
      </c>
      <c r="M146" s="10" t="s">
        <v>1183</v>
      </c>
      <c r="N146" s="10">
        <v>206</v>
      </c>
      <c r="O146" s="10" t="s">
        <v>1949</v>
      </c>
      <c r="P146" s="13">
        <v>45940</v>
      </c>
    </row>
    <row r="147" spans="1:16" x14ac:dyDescent="0.25">
      <c r="A147" s="10" t="s">
        <v>466</v>
      </c>
      <c r="B147" s="10" t="s">
        <v>311</v>
      </c>
      <c r="C147" s="10" t="s">
        <v>29</v>
      </c>
      <c r="D147" s="10" t="s">
        <v>312</v>
      </c>
      <c r="E147" s="10">
        <v>9820914808</v>
      </c>
      <c r="F147" s="11">
        <v>0.8386689814814815</v>
      </c>
      <c r="G147" s="10">
        <v>1207.68</v>
      </c>
      <c r="H147" s="10">
        <v>68.27</v>
      </c>
      <c r="I147" s="12">
        <v>84.29965277777778</v>
      </c>
      <c r="J147" s="10">
        <v>19</v>
      </c>
      <c r="K147" s="10">
        <v>13</v>
      </c>
      <c r="L147" s="10" t="s">
        <v>1122</v>
      </c>
      <c r="M147" s="10" t="s">
        <v>1123</v>
      </c>
      <c r="N147" s="10">
        <v>169</v>
      </c>
      <c r="O147" s="10" t="s">
        <v>1949</v>
      </c>
      <c r="P147" s="13">
        <v>46155</v>
      </c>
    </row>
    <row r="148" spans="1:16" x14ac:dyDescent="0.25">
      <c r="A148" s="10" t="s">
        <v>467</v>
      </c>
      <c r="B148" s="10" t="s">
        <v>311</v>
      </c>
      <c r="C148" s="10" t="s">
        <v>29</v>
      </c>
      <c r="D148" s="10" t="s">
        <v>312</v>
      </c>
      <c r="E148" s="10">
        <v>9820914808</v>
      </c>
      <c r="F148" s="12">
        <v>5.7582754629629633</v>
      </c>
      <c r="G148" s="10">
        <v>1091.92</v>
      </c>
      <c r="H148" s="10">
        <v>997.22</v>
      </c>
      <c r="I148" s="12">
        <v>84.29965277777778</v>
      </c>
      <c r="J148" s="10">
        <v>58</v>
      </c>
      <c r="K148" s="10">
        <v>28</v>
      </c>
      <c r="L148" s="10" t="s">
        <v>808</v>
      </c>
      <c r="M148" s="10" t="s">
        <v>809</v>
      </c>
      <c r="N148" s="10">
        <v>206</v>
      </c>
      <c r="O148" s="10" t="s">
        <v>1949</v>
      </c>
      <c r="P148" s="13">
        <v>46042</v>
      </c>
    </row>
    <row r="149" spans="1:16" x14ac:dyDescent="0.25">
      <c r="A149" s="10" t="s">
        <v>468</v>
      </c>
      <c r="B149" s="10" t="s">
        <v>311</v>
      </c>
      <c r="C149" s="10" t="s">
        <v>29</v>
      </c>
      <c r="D149" s="10" t="s">
        <v>312</v>
      </c>
      <c r="E149" s="10">
        <v>9820914808</v>
      </c>
      <c r="F149" s="11">
        <v>0.12869212962962964</v>
      </c>
      <c r="G149" s="10">
        <v>185.32</v>
      </c>
      <c r="H149" s="10">
        <v>0</v>
      </c>
      <c r="I149" s="12">
        <v>84.29965277777778</v>
      </c>
      <c r="J149" s="10">
        <v>2</v>
      </c>
      <c r="K149" s="10">
        <v>0</v>
      </c>
      <c r="L149" s="10" t="s">
        <v>1777</v>
      </c>
      <c r="M149" s="10" t="s">
        <v>1778</v>
      </c>
      <c r="N149" s="10">
        <v>160</v>
      </c>
      <c r="O149" s="10" t="s">
        <v>1950</v>
      </c>
      <c r="P149" s="13">
        <v>45572</v>
      </c>
    </row>
    <row r="150" spans="1:16" x14ac:dyDescent="0.25">
      <c r="A150" s="10" t="s">
        <v>469</v>
      </c>
      <c r="B150" s="10" t="s">
        <v>311</v>
      </c>
      <c r="C150" s="10" t="s">
        <v>29</v>
      </c>
      <c r="D150" s="10" t="s">
        <v>312</v>
      </c>
      <c r="E150" s="10">
        <v>9820914808</v>
      </c>
      <c r="F150" s="12">
        <v>4.3656597222222224</v>
      </c>
      <c r="G150" s="10">
        <v>526.54999999999995</v>
      </c>
      <c r="H150" s="10">
        <v>706.29</v>
      </c>
      <c r="I150" s="12">
        <v>84.29965277777778</v>
      </c>
      <c r="J150" s="10">
        <v>38</v>
      </c>
      <c r="K150" s="10">
        <v>13</v>
      </c>
      <c r="L150" s="10" t="s">
        <v>870</v>
      </c>
      <c r="M150" s="10" t="s">
        <v>871</v>
      </c>
      <c r="N150" s="10">
        <v>173</v>
      </c>
      <c r="O150" s="10" t="s">
        <v>1949</v>
      </c>
      <c r="P150" s="13">
        <v>45819</v>
      </c>
    </row>
    <row r="151" spans="1:16" x14ac:dyDescent="0.25">
      <c r="A151" s="10" t="s">
        <v>470</v>
      </c>
      <c r="B151" s="10" t="s">
        <v>311</v>
      </c>
      <c r="C151" s="10" t="s">
        <v>29</v>
      </c>
      <c r="D151" s="10" t="s">
        <v>312</v>
      </c>
      <c r="E151" s="10">
        <v>9820914808</v>
      </c>
      <c r="F151" s="11">
        <v>0.62780092592592596</v>
      </c>
      <c r="G151" s="10">
        <v>904.03</v>
      </c>
      <c r="H151" s="10">
        <v>65.67</v>
      </c>
      <c r="I151" s="12">
        <v>84.29965277777778</v>
      </c>
      <c r="J151" s="10">
        <v>26</v>
      </c>
      <c r="K151" s="10">
        <v>12</v>
      </c>
      <c r="L151" s="10" t="s">
        <v>1010</v>
      </c>
      <c r="M151" s="10" t="s">
        <v>1011</v>
      </c>
      <c r="N151" s="10">
        <v>198</v>
      </c>
      <c r="O151" s="10" t="s">
        <v>1949</v>
      </c>
      <c r="P151" s="13">
        <v>45849</v>
      </c>
    </row>
    <row r="152" spans="1:16" x14ac:dyDescent="0.25">
      <c r="A152" s="10" t="s">
        <v>471</v>
      </c>
      <c r="B152" s="10" t="s">
        <v>311</v>
      </c>
      <c r="C152" s="10" t="s">
        <v>46</v>
      </c>
      <c r="D152" s="10" t="s">
        <v>436</v>
      </c>
      <c r="E152" s="10">
        <v>9824004651</v>
      </c>
      <c r="F152" s="11">
        <v>0.19908564814814814</v>
      </c>
      <c r="G152" s="10">
        <v>286.68</v>
      </c>
      <c r="H152" s="10">
        <v>1.41</v>
      </c>
      <c r="I152" s="12">
        <v>84.337824074074078</v>
      </c>
      <c r="J152" s="10">
        <v>3</v>
      </c>
      <c r="K152" s="10">
        <v>0</v>
      </c>
      <c r="L152" s="10" t="s">
        <v>1705</v>
      </c>
      <c r="M152" s="10" t="s">
        <v>1706</v>
      </c>
      <c r="N152" s="10">
        <v>-45</v>
      </c>
      <c r="O152" s="10" t="s">
        <v>1950</v>
      </c>
      <c r="P152" s="13">
        <v>46029</v>
      </c>
    </row>
    <row r="153" spans="1:16" x14ac:dyDescent="0.25">
      <c r="A153" s="10" t="s">
        <v>472</v>
      </c>
      <c r="B153" s="10" t="s">
        <v>311</v>
      </c>
      <c r="C153" s="10" t="s">
        <v>29</v>
      </c>
      <c r="D153" s="10" t="s">
        <v>312</v>
      </c>
      <c r="E153" s="10">
        <v>9820914808</v>
      </c>
      <c r="F153" s="11">
        <v>0.95901620370370366</v>
      </c>
      <c r="G153" s="10">
        <v>1380.98</v>
      </c>
      <c r="H153" s="10">
        <v>3048.07</v>
      </c>
      <c r="I153" s="12">
        <v>84.29965277777778</v>
      </c>
      <c r="J153" s="10">
        <v>12</v>
      </c>
      <c r="K153" s="10">
        <v>5</v>
      </c>
      <c r="L153" s="10" t="s">
        <v>1287</v>
      </c>
      <c r="M153" s="10" t="s">
        <v>1288</v>
      </c>
      <c r="N153" s="10">
        <v>198</v>
      </c>
      <c r="O153" s="10" t="s">
        <v>1949</v>
      </c>
      <c r="P153" s="13">
        <v>45912</v>
      </c>
    </row>
    <row r="154" spans="1:16" x14ac:dyDescent="0.25">
      <c r="A154" s="10" t="s">
        <v>473</v>
      </c>
      <c r="B154" s="10" t="s">
        <v>311</v>
      </c>
      <c r="C154" s="10" t="s">
        <v>29</v>
      </c>
      <c r="D154" s="10" t="s">
        <v>312</v>
      </c>
      <c r="E154" s="10">
        <v>9820914808</v>
      </c>
      <c r="F154" s="12">
        <v>4.0136342592592591</v>
      </c>
      <c r="G154" s="10">
        <v>19.63</v>
      </c>
      <c r="H154" s="10">
        <v>638692906.94000006</v>
      </c>
      <c r="I154" s="12">
        <v>84.29965277777778</v>
      </c>
      <c r="J154" s="10">
        <v>13</v>
      </c>
      <c r="K154" s="10">
        <v>8</v>
      </c>
      <c r="L154" s="10" t="s">
        <v>1261</v>
      </c>
      <c r="M154" s="10" t="s">
        <v>1262</v>
      </c>
      <c r="N154" s="10">
        <v>145</v>
      </c>
      <c r="O154" s="10" t="s">
        <v>1949</v>
      </c>
      <c r="P154" s="13">
        <v>46004</v>
      </c>
    </row>
    <row r="155" spans="1:16" x14ac:dyDescent="0.25">
      <c r="A155" s="10" t="s">
        <v>474</v>
      </c>
      <c r="B155" s="10" t="s">
        <v>311</v>
      </c>
      <c r="C155" s="10" t="s">
        <v>29</v>
      </c>
      <c r="D155" s="10" t="s">
        <v>312</v>
      </c>
      <c r="E155" s="10">
        <v>9820914808</v>
      </c>
      <c r="F155" s="12">
        <v>1.1463541666666666</v>
      </c>
      <c r="G155" s="10">
        <v>210.75</v>
      </c>
      <c r="H155" s="10">
        <v>130.32</v>
      </c>
      <c r="I155" s="12">
        <v>84.29965277777778</v>
      </c>
      <c r="J155" s="10">
        <v>26</v>
      </c>
      <c r="K155" s="10">
        <v>16</v>
      </c>
      <c r="L155" s="10" t="s">
        <v>1008</v>
      </c>
      <c r="M155" s="10" t="s">
        <v>1009</v>
      </c>
      <c r="N155" s="10">
        <v>179</v>
      </c>
      <c r="O155" s="10" t="s">
        <v>1949</v>
      </c>
      <c r="P155" s="13">
        <v>45683</v>
      </c>
    </row>
    <row r="156" spans="1:16" x14ac:dyDescent="0.25">
      <c r="A156" s="10" t="s">
        <v>475</v>
      </c>
      <c r="B156" s="10" t="s">
        <v>311</v>
      </c>
      <c r="C156" s="10" t="s">
        <v>29</v>
      </c>
      <c r="D156" s="10" t="s">
        <v>312</v>
      </c>
      <c r="E156" s="10">
        <v>9820914808</v>
      </c>
      <c r="F156" s="11">
        <v>0.33271990740740742</v>
      </c>
      <c r="G156" s="10">
        <v>479.12</v>
      </c>
      <c r="H156" s="10">
        <v>22.71</v>
      </c>
      <c r="I156" s="12">
        <v>84.29965277777778</v>
      </c>
      <c r="J156" s="10">
        <v>13</v>
      </c>
      <c r="K156" s="10">
        <v>4</v>
      </c>
      <c r="L156" s="10" t="s">
        <v>1263</v>
      </c>
      <c r="M156" s="10" t="s">
        <v>1264</v>
      </c>
      <c r="N156" s="10">
        <v>182</v>
      </c>
      <c r="O156" s="10" t="s">
        <v>1950</v>
      </c>
      <c r="P156" s="13">
        <v>46041</v>
      </c>
    </row>
    <row r="157" spans="1:16" x14ac:dyDescent="0.25">
      <c r="A157" s="10" t="s">
        <v>476</v>
      </c>
      <c r="B157" s="10" t="s">
        <v>311</v>
      </c>
      <c r="C157" s="10" t="s">
        <v>29</v>
      </c>
      <c r="D157" s="10" t="s">
        <v>312</v>
      </c>
      <c r="E157" s="10">
        <v>9820914808</v>
      </c>
      <c r="F157" s="12">
        <v>1.3836342592592592</v>
      </c>
      <c r="G157" s="10">
        <v>552.42999999999995</v>
      </c>
      <c r="H157" s="10">
        <v>230.49</v>
      </c>
      <c r="I157" s="12">
        <v>84.29965277777778</v>
      </c>
      <c r="J157" s="10">
        <v>15</v>
      </c>
      <c r="K157" s="10">
        <v>0</v>
      </c>
      <c r="L157" s="10" t="s">
        <v>1202</v>
      </c>
      <c r="M157" s="10" t="s">
        <v>1203</v>
      </c>
      <c r="N157" s="10">
        <v>154</v>
      </c>
      <c r="O157" s="10" t="s">
        <v>1950</v>
      </c>
      <c r="P157" s="13">
        <v>46153</v>
      </c>
    </row>
    <row r="158" spans="1:16" x14ac:dyDescent="0.25">
      <c r="A158" s="10" t="s">
        <v>477</v>
      </c>
      <c r="B158" s="10" t="s">
        <v>311</v>
      </c>
      <c r="C158" s="10" t="s">
        <v>29</v>
      </c>
      <c r="D158" s="10" t="s">
        <v>312</v>
      </c>
      <c r="E158" s="10">
        <v>9820914808</v>
      </c>
      <c r="F158" s="12">
        <v>2.925636574074074</v>
      </c>
      <c r="G158" s="10">
        <v>1332.92</v>
      </c>
      <c r="H158" s="10">
        <v>685.06</v>
      </c>
      <c r="I158" s="12">
        <v>84.29965277777778</v>
      </c>
      <c r="J158" s="10">
        <v>17</v>
      </c>
      <c r="K158" s="10">
        <v>5</v>
      </c>
      <c r="L158" s="10" t="s">
        <v>1152</v>
      </c>
      <c r="M158" s="10" t="s">
        <v>1153</v>
      </c>
      <c r="N158" s="10">
        <v>178</v>
      </c>
      <c r="O158" s="10" t="s">
        <v>1950</v>
      </c>
      <c r="P158" s="13">
        <v>46082</v>
      </c>
    </row>
    <row r="159" spans="1:16" x14ac:dyDescent="0.25">
      <c r="A159" s="10" t="s">
        <v>478</v>
      </c>
      <c r="B159" s="10" t="s">
        <v>311</v>
      </c>
      <c r="C159" s="10" t="s">
        <v>29</v>
      </c>
      <c r="D159" s="10" t="s">
        <v>312</v>
      </c>
      <c r="E159" s="10">
        <v>9820914808</v>
      </c>
      <c r="F159" s="11">
        <v>0.15378472222222223</v>
      </c>
      <c r="G159" s="10">
        <v>221.45</v>
      </c>
      <c r="H159" s="10">
        <v>14.83</v>
      </c>
      <c r="I159" s="12">
        <v>84.29965277777778</v>
      </c>
      <c r="J159" s="10">
        <v>2</v>
      </c>
      <c r="K159" s="10">
        <v>0</v>
      </c>
      <c r="L159" s="10" t="s">
        <v>1807</v>
      </c>
      <c r="M159" s="10" t="s">
        <v>1808</v>
      </c>
      <c r="N159" s="10">
        <v>446</v>
      </c>
      <c r="O159" s="10" t="s">
        <v>1950</v>
      </c>
      <c r="P159" s="13">
        <v>45942</v>
      </c>
    </row>
    <row r="160" spans="1:16" x14ac:dyDescent="0.25">
      <c r="A160" s="10" t="s">
        <v>479</v>
      </c>
      <c r="B160" s="10" t="s">
        <v>311</v>
      </c>
      <c r="C160" s="10" t="s">
        <v>29</v>
      </c>
      <c r="D160" s="10" t="s">
        <v>312</v>
      </c>
      <c r="E160" s="10">
        <v>9820914808</v>
      </c>
      <c r="F160" s="12">
        <v>1.9664236111111111</v>
      </c>
      <c r="G160" s="10">
        <v>1391.65</v>
      </c>
      <c r="H160" s="10">
        <v>131.22</v>
      </c>
      <c r="I160" s="12">
        <v>84.29965277777778</v>
      </c>
      <c r="J160" s="10">
        <v>41</v>
      </c>
      <c r="K160" s="10">
        <v>11</v>
      </c>
      <c r="L160" s="10" t="s">
        <v>846</v>
      </c>
      <c r="M160" s="10" t="s">
        <v>847</v>
      </c>
      <c r="N160" s="10">
        <v>195</v>
      </c>
      <c r="O160" s="10" t="s">
        <v>1949</v>
      </c>
      <c r="P160" s="13">
        <v>46051</v>
      </c>
    </row>
    <row r="161" spans="1:16" x14ac:dyDescent="0.25">
      <c r="A161" s="10" t="s">
        <v>480</v>
      </c>
      <c r="B161" s="10" t="s">
        <v>311</v>
      </c>
      <c r="C161" s="10" t="s">
        <v>29</v>
      </c>
      <c r="D161" s="10" t="s">
        <v>312</v>
      </c>
      <c r="E161" s="10">
        <v>9820914808</v>
      </c>
      <c r="F161" s="11">
        <v>0.92677083333333332</v>
      </c>
      <c r="G161" s="10">
        <v>1334.55</v>
      </c>
      <c r="H161" s="10">
        <v>72.900000000000006</v>
      </c>
      <c r="I161" s="12">
        <v>84.29965277777778</v>
      </c>
      <c r="J161" s="10">
        <v>11</v>
      </c>
      <c r="K161" s="10">
        <v>8</v>
      </c>
      <c r="L161" s="10" t="s">
        <v>1321</v>
      </c>
      <c r="M161" s="10" t="s">
        <v>1322</v>
      </c>
      <c r="N161" s="10">
        <v>204</v>
      </c>
      <c r="O161" s="10" t="s">
        <v>1950</v>
      </c>
      <c r="P161" s="13">
        <v>45599</v>
      </c>
    </row>
    <row r="162" spans="1:16" x14ac:dyDescent="0.25">
      <c r="A162" s="10" t="s">
        <v>481</v>
      </c>
      <c r="B162" s="10" t="s">
        <v>311</v>
      </c>
      <c r="C162" s="10" t="s">
        <v>29</v>
      </c>
      <c r="D162" s="10" t="s">
        <v>312</v>
      </c>
      <c r="E162" s="10">
        <v>9820914808</v>
      </c>
      <c r="F162" s="12">
        <v>1.0818634259259259</v>
      </c>
      <c r="G162" s="10">
        <v>117.88</v>
      </c>
      <c r="H162" s="10">
        <v>138.59</v>
      </c>
      <c r="I162" s="12">
        <v>84.29965277777778</v>
      </c>
      <c r="J162" s="10">
        <v>26</v>
      </c>
      <c r="K162" s="10">
        <v>8</v>
      </c>
      <c r="L162" s="10" t="s">
        <v>1006</v>
      </c>
      <c r="M162" s="10" t="s">
        <v>1007</v>
      </c>
      <c r="N162" s="10">
        <v>176</v>
      </c>
      <c r="O162" s="10" t="s">
        <v>1949</v>
      </c>
      <c r="P162" s="13">
        <v>46056</v>
      </c>
    </row>
    <row r="163" spans="1:16" x14ac:dyDescent="0.25">
      <c r="A163" s="10" t="s">
        <v>482</v>
      </c>
      <c r="B163" s="10" t="s">
        <v>311</v>
      </c>
      <c r="C163" s="10" t="s">
        <v>29</v>
      </c>
      <c r="D163" s="10" t="s">
        <v>312</v>
      </c>
      <c r="E163" s="10">
        <v>9820914808</v>
      </c>
      <c r="F163" s="11">
        <v>0.448125</v>
      </c>
      <c r="G163" s="10">
        <v>645.29999999999995</v>
      </c>
      <c r="H163" s="10">
        <v>5156337.1900000004</v>
      </c>
      <c r="I163" s="12">
        <v>84.29965277777778</v>
      </c>
      <c r="J163" s="10">
        <v>16</v>
      </c>
      <c r="K163" s="10">
        <v>2</v>
      </c>
      <c r="L163" s="10" t="s">
        <v>1174</v>
      </c>
      <c r="M163" s="10" t="s">
        <v>1175</v>
      </c>
      <c r="N163" s="10">
        <v>156</v>
      </c>
      <c r="O163" s="10" t="s">
        <v>1950</v>
      </c>
      <c r="P163" s="13">
        <v>45699</v>
      </c>
    </row>
    <row r="164" spans="1:16" x14ac:dyDescent="0.25">
      <c r="A164" s="10" t="s">
        <v>483</v>
      </c>
      <c r="B164" s="10" t="s">
        <v>311</v>
      </c>
      <c r="C164" s="10" t="s">
        <v>29</v>
      </c>
      <c r="D164" s="10" t="s">
        <v>312</v>
      </c>
      <c r="E164" s="10">
        <v>9820914808</v>
      </c>
      <c r="F164" s="12">
        <v>3.5972222222222223</v>
      </c>
      <c r="G164" s="10">
        <v>860</v>
      </c>
      <c r="H164" s="10">
        <v>319.98</v>
      </c>
      <c r="I164" s="12">
        <v>84.29965277777778</v>
      </c>
      <c r="J164" s="10">
        <v>15</v>
      </c>
      <c r="K164" s="10">
        <v>8</v>
      </c>
      <c r="L164" s="10" t="s">
        <v>1210</v>
      </c>
      <c r="M164" s="10" t="s">
        <v>1211</v>
      </c>
      <c r="N164" s="10">
        <v>181</v>
      </c>
      <c r="O164" s="10" t="s">
        <v>1949</v>
      </c>
      <c r="P164" s="13">
        <v>46126</v>
      </c>
    </row>
    <row r="165" spans="1:16" x14ac:dyDescent="0.25">
      <c r="A165" s="10" t="s">
        <v>484</v>
      </c>
      <c r="B165" s="10" t="s">
        <v>311</v>
      </c>
      <c r="C165" s="10" t="s">
        <v>29</v>
      </c>
      <c r="D165" s="10" t="s">
        <v>312</v>
      </c>
      <c r="E165" s="10">
        <v>9820914808</v>
      </c>
      <c r="F165" s="12">
        <v>1.0063310185185186</v>
      </c>
      <c r="G165" s="10">
        <v>9.1199999999999992</v>
      </c>
      <c r="H165" s="10">
        <v>104.75</v>
      </c>
      <c r="I165" s="12">
        <v>84.29965277777778</v>
      </c>
      <c r="J165" s="10">
        <v>21</v>
      </c>
      <c r="K165" s="10">
        <v>0</v>
      </c>
      <c r="L165" s="10" t="s">
        <v>1088</v>
      </c>
      <c r="M165" s="10" t="s">
        <v>1089</v>
      </c>
      <c r="N165" s="10">
        <v>182</v>
      </c>
      <c r="O165" s="10" t="s">
        <v>1950</v>
      </c>
      <c r="P165" s="13">
        <v>46074</v>
      </c>
    </row>
    <row r="166" spans="1:16" x14ac:dyDescent="0.25">
      <c r="A166" s="10" t="s">
        <v>485</v>
      </c>
      <c r="B166" s="10" t="s">
        <v>311</v>
      </c>
      <c r="C166" s="10" t="s">
        <v>29</v>
      </c>
      <c r="D166" s="10" t="s">
        <v>312</v>
      </c>
      <c r="E166" s="10">
        <v>9820914808</v>
      </c>
      <c r="F166" s="11">
        <v>0.42004629629629631</v>
      </c>
      <c r="G166" s="10">
        <v>604.87</v>
      </c>
      <c r="H166" s="10">
        <v>13.19</v>
      </c>
      <c r="I166" s="12">
        <v>84.29965277777778</v>
      </c>
      <c r="J166" s="10">
        <v>9</v>
      </c>
      <c r="K166" s="10">
        <v>1</v>
      </c>
      <c r="L166" s="10" t="s">
        <v>1385</v>
      </c>
      <c r="M166" s="10" t="s">
        <v>1386</v>
      </c>
      <c r="N166" s="10">
        <v>180</v>
      </c>
      <c r="O166" s="10" t="s">
        <v>1949</v>
      </c>
      <c r="P166" s="13">
        <v>46047</v>
      </c>
    </row>
    <row r="167" spans="1:16" x14ac:dyDescent="0.25">
      <c r="A167" s="10" t="s">
        <v>486</v>
      </c>
      <c r="B167" s="10" t="s">
        <v>311</v>
      </c>
      <c r="C167" s="10" t="s">
        <v>29</v>
      </c>
      <c r="D167" s="10" t="s">
        <v>312</v>
      </c>
      <c r="E167" s="10">
        <v>9820914808</v>
      </c>
      <c r="F167" s="12">
        <v>2.9601736111111112</v>
      </c>
      <c r="G167" s="10">
        <v>1382.65</v>
      </c>
      <c r="H167" s="10">
        <v>1154.0899999999999</v>
      </c>
      <c r="I167" s="12">
        <v>84.29965277777778</v>
      </c>
      <c r="J167" s="10">
        <v>29</v>
      </c>
      <c r="K167" s="10">
        <v>12</v>
      </c>
      <c r="L167" s="10" t="s">
        <v>968</v>
      </c>
      <c r="M167" s="10" t="s">
        <v>969</v>
      </c>
      <c r="N167" s="10">
        <v>247</v>
      </c>
      <c r="O167" s="10" t="s">
        <v>1949</v>
      </c>
      <c r="P167" s="13">
        <v>46151</v>
      </c>
    </row>
    <row r="168" spans="1:16" x14ac:dyDescent="0.25">
      <c r="A168" s="10" t="s">
        <v>487</v>
      </c>
      <c r="B168" s="10" t="s">
        <v>311</v>
      </c>
      <c r="C168" s="10" t="s">
        <v>29</v>
      </c>
      <c r="D168" s="10" t="s">
        <v>312</v>
      </c>
      <c r="E168" s="10">
        <v>9820914808</v>
      </c>
      <c r="F168" s="12">
        <v>1.8666782407407407</v>
      </c>
      <c r="G168" s="10">
        <v>1248.02</v>
      </c>
      <c r="H168" s="10">
        <v>375.59</v>
      </c>
      <c r="I168" s="12">
        <v>84.29965277777778</v>
      </c>
      <c r="J168" s="10">
        <v>20</v>
      </c>
      <c r="K168" s="10">
        <v>0</v>
      </c>
      <c r="L168" s="10" t="s">
        <v>1108</v>
      </c>
      <c r="M168" s="10" t="s">
        <v>1109</v>
      </c>
      <c r="N168" s="10">
        <v>180</v>
      </c>
      <c r="O168" s="10" t="s">
        <v>1950</v>
      </c>
      <c r="P168" s="13">
        <v>45941</v>
      </c>
    </row>
    <row r="169" spans="1:16" x14ac:dyDescent="0.25">
      <c r="A169" s="10" t="s">
        <v>488</v>
      </c>
      <c r="B169" s="10" t="s">
        <v>311</v>
      </c>
      <c r="C169" s="10" t="s">
        <v>29</v>
      </c>
      <c r="D169" s="10" t="s">
        <v>312</v>
      </c>
      <c r="E169" s="10">
        <v>9820914808</v>
      </c>
      <c r="F169" s="11">
        <v>0.11247685185185186</v>
      </c>
      <c r="G169" s="10">
        <v>161.97</v>
      </c>
      <c r="H169" s="10">
        <v>2048609180.26</v>
      </c>
      <c r="I169" s="12">
        <v>84.29965277777778</v>
      </c>
      <c r="J169" s="10">
        <v>2</v>
      </c>
      <c r="K169" s="10">
        <v>0</v>
      </c>
      <c r="L169" s="10" t="s">
        <v>1785</v>
      </c>
      <c r="M169" s="10" t="s">
        <v>1786</v>
      </c>
      <c r="N169" s="10">
        <v>183</v>
      </c>
      <c r="O169" s="10" t="s">
        <v>1950</v>
      </c>
      <c r="P169" s="13">
        <v>45583</v>
      </c>
    </row>
    <row r="170" spans="1:16" x14ac:dyDescent="0.25">
      <c r="A170" s="10" t="s">
        <v>489</v>
      </c>
      <c r="B170" s="10" t="s">
        <v>311</v>
      </c>
      <c r="C170" s="10" t="s">
        <v>29</v>
      </c>
      <c r="D170" s="10" t="s">
        <v>312</v>
      </c>
      <c r="E170" s="10">
        <v>9820914808</v>
      </c>
      <c r="F170" s="12">
        <v>5.5446527777777774</v>
      </c>
      <c r="G170" s="10">
        <v>784.3</v>
      </c>
      <c r="H170" s="10">
        <v>339.9</v>
      </c>
      <c r="I170" s="12">
        <v>84.29965277777778</v>
      </c>
      <c r="J170" s="10">
        <v>17</v>
      </c>
      <c r="K170" s="10">
        <v>8</v>
      </c>
      <c r="L170" s="10" t="s">
        <v>1164</v>
      </c>
      <c r="M170" s="10" t="s">
        <v>1165</v>
      </c>
      <c r="N170" s="10">
        <v>242</v>
      </c>
      <c r="O170" s="10" t="s">
        <v>1949</v>
      </c>
      <c r="P170" s="13">
        <v>46032</v>
      </c>
    </row>
    <row r="171" spans="1:16" x14ac:dyDescent="0.25">
      <c r="A171" s="10" t="s">
        <v>490</v>
      </c>
      <c r="B171" s="10" t="s">
        <v>311</v>
      </c>
      <c r="C171" s="10" t="s">
        <v>29</v>
      </c>
      <c r="D171" s="10" t="s">
        <v>312</v>
      </c>
      <c r="E171" s="10">
        <v>9820914808</v>
      </c>
      <c r="F171" s="12">
        <v>1.0122800925925926</v>
      </c>
      <c r="G171" s="10">
        <v>17.68</v>
      </c>
      <c r="H171" s="10">
        <v>155.38999999999999</v>
      </c>
      <c r="I171" s="12">
        <v>84.29965277777778</v>
      </c>
      <c r="J171" s="10">
        <v>18</v>
      </c>
      <c r="K171" s="10">
        <v>9</v>
      </c>
      <c r="L171" s="10" t="s">
        <v>1138</v>
      </c>
      <c r="M171" s="10" t="s">
        <v>1139</v>
      </c>
      <c r="N171" s="10">
        <v>176</v>
      </c>
      <c r="O171" s="10" t="s">
        <v>1949</v>
      </c>
      <c r="P171" s="13">
        <v>46040</v>
      </c>
    </row>
    <row r="172" spans="1:16" x14ac:dyDescent="0.25">
      <c r="A172" s="10" t="s">
        <v>491</v>
      </c>
      <c r="B172" s="10" t="s">
        <v>311</v>
      </c>
      <c r="C172" s="10" t="s">
        <v>29</v>
      </c>
      <c r="D172" s="10" t="s">
        <v>312</v>
      </c>
      <c r="E172" s="10">
        <v>9820914808</v>
      </c>
      <c r="F172" s="11">
        <v>0.38252314814814814</v>
      </c>
      <c r="G172" s="10">
        <v>550.83000000000004</v>
      </c>
      <c r="H172" s="10">
        <v>48.44</v>
      </c>
      <c r="I172" s="12">
        <v>84.29965277777778</v>
      </c>
      <c r="J172" s="10">
        <v>7</v>
      </c>
      <c r="K172" s="10">
        <v>4</v>
      </c>
      <c r="L172" s="10" t="s">
        <v>1454</v>
      </c>
      <c r="M172" s="10" t="s">
        <v>1455</v>
      </c>
      <c r="N172" s="10">
        <v>246</v>
      </c>
      <c r="O172" s="10" t="s">
        <v>1949</v>
      </c>
      <c r="P172" s="13">
        <v>46021</v>
      </c>
    </row>
    <row r="173" spans="1:16" x14ac:dyDescent="0.25">
      <c r="A173" s="10" t="s">
        <v>492</v>
      </c>
      <c r="B173" s="10" t="s">
        <v>311</v>
      </c>
      <c r="C173" s="10" t="s">
        <v>29</v>
      </c>
      <c r="D173" s="10" t="s">
        <v>312</v>
      </c>
      <c r="E173" s="10">
        <v>9820914808</v>
      </c>
      <c r="F173" s="11">
        <v>0.40084490740740741</v>
      </c>
      <c r="G173" s="10">
        <v>577.22</v>
      </c>
      <c r="H173" s="10">
        <v>45.06</v>
      </c>
      <c r="I173" s="12">
        <v>84.29965277777778</v>
      </c>
      <c r="J173" s="10">
        <v>10</v>
      </c>
      <c r="K173" s="10">
        <v>4</v>
      </c>
      <c r="L173" s="10" t="s">
        <v>1359</v>
      </c>
      <c r="M173" s="10" t="s">
        <v>1360</v>
      </c>
      <c r="N173" s="10">
        <v>258</v>
      </c>
      <c r="O173" s="10" t="s">
        <v>1949</v>
      </c>
      <c r="P173" s="13">
        <v>45874</v>
      </c>
    </row>
    <row r="174" spans="1:16" x14ac:dyDescent="0.25">
      <c r="A174" s="10" t="s">
        <v>493</v>
      </c>
      <c r="B174" s="10" t="s">
        <v>311</v>
      </c>
      <c r="C174" s="10" t="s">
        <v>29</v>
      </c>
      <c r="D174" s="10" t="s">
        <v>312</v>
      </c>
      <c r="E174" s="10">
        <v>9820914808</v>
      </c>
      <c r="F174" s="12">
        <v>4.971759259259259</v>
      </c>
      <c r="G174" s="10">
        <v>1399.33</v>
      </c>
      <c r="H174" s="10">
        <v>708.56</v>
      </c>
      <c r="I174" s="12">
        <v>84.29965277777778</v>
      </c>
      <c r="J174" s="10">
        <v>63</v>
      </c>
      <c r="K174" s="10">
        <v>15</v>
      </c>
      <c r="L174" s="10" t="s">
        <v>799</v>
      </c>
      <c r="M174" s="10" t="s">
        <v>800</v>
      </c>
      <c r="N174" s="10">
        <v>179</v>
      </c>
      <c r="O174" s="10" t="s">
        <v>1949</v>
      </c>
      <c r="P174" s="13">
        <v>46078</v>
      </c>
    </row>
    <row r="175" spans="1:16" x14ac:dyDescent="0.25">
      <c r="A175" s="10" t="s">
        <v>494</v>
      </c>
      <c r="B175" s="10" t="s">
        <v>311</v>
      </c>
      <c r="C175" s="10" t="s">
        <v>29</v>
      </c>
      <c r="D175" s="10" t="s">
        <v>312</v>
      </c>
      <c r="E175" s="10">
        <v>9820914808</v>
      </c>
      <c r="F175" s="11">
        <v>0.75034722222222228</v>
      </c>
      <c r="G175" s="10">
        <v>1080.5</v>
      </c>
      <c r="H175" s="10">
        <v>1.97</v>
      </c>
      <c r="I175" s="12">
        <v>84.29965277777778</v>
      </c>
      <c r="J175" s="10">
        <v>9</v>
      </c>
      <c r="K175" s="10">
        <v>5</v>
      </c>
      <c r="L175" s="10" t="s">
        <v>1394</v>
      </c>
      <c r="M175" s="10" t="s">
        <v>1395</v>
      </c>
      <c r="N175" s="10">
        <v>247</v>
      </c>
      <c r="O175" s="10" t="s">
        <v>1950</v>
      </c>
      <c r="P175" s="13">
        <v>45977</v>
      </c>
    </row>
    <row r="176" spans="1:16" x14ac:dyDescent="0.25">
      <c r="A176" s="10" t="s">
        <v>495</v>
      </c>
      <c r="B176" s="10" t="s">
        <v>311</v>
      </c>
      <c r="C176" s="10" t="s">
        <v>29</v>
      </c>
      <c r="D176" s="10" t="s">
        <v>312</v>
      </c>
      <c r="E176" s="10">
        <v>9820914808</v>
      </c>
      <c r="F176" s="11">
        <v>0.10412037037037038</v>
      </c>
      <c r="G176" s="10">
        <v>149.93</v>
      </c>
      <c r="H176" s="10">
        <v>0</v>
      </c>
      <c r="I176" s="12">
        <v>84.29965277777778</v>
      </c>
      <c r="J176" s="10">
        <v>6</v>
      </c>
      <c r="K176" s="10">
        <v>3</v>
      </c>
      <c r="L176" s="10" t="s">
        <v>1499</v>
      </c>
      <c r="M176" s="10" t="s">
        <v>1500</v>
      </c>
      <c r="N176" s="10">
        <v>184</v>
      </c>
      <c r="O176" s="10" t="s">
        <v>1949</v>
      </c>
      <c r="P176" s="13">
        <v>45946</v>
      </c>
    </row>
    <row r="177" spans="1:16" x14ac:dyDescent="0.25">
      <c r="A177" s="10" t="s">
        <v>496</v>
      </c>
      <c r="B177" s="10" t="s">
        <v>311</v>
      </c>
      <c r="C177" s="10" t="s">
        <v>29</v>
      </c>
      <c r="D177" s="10" t="s">
        <v>312</v>
      </c>
      <c r="E177" s="10">
        <v>9820914808</v>
      </c>
      <c r="F177" s="12">
        <v>1.625173611111111</v>
      </c>
      <c r="G177" s="10">
        <v>900.25</v>
      </c>
      <c r="H177" s="10">
        <v>383.5</v>
      </c>
      <c r="I177" s="12">
        <v>84.29965277777778</v>
      </c>
      <c r="J177" s="10">
        <v>36</v>
      </c>
      <c r="K177" s="10">
        <v>21</v>
      </c>
      <c r="L177" s="10" t="s">
        <v>888</v>
      </c>
      <c r="M177" s="10" t="s">
        <v>889</v>
      </c>
      <c r="N177" s="10">
        <v>173</v>
      </c>
      <c r="O177" s="10" t="s">
        <v>1949</v>
      </c>
      <c r="P177" s="13">
        <v>46084</v>
      </c>
    </row>
    <row r="178" spans="1:16" x14ac:dyDescent="0.25">
      <c r="A178" s="10" t="s">
        <v>497</v>
      </c>
      <c r="B178" s="10" t="s">
        <v>311</v>
      </c>
      <c r="C178" s="10" t="s">
        <v>29</v>
      </c>
      <c r="D178" s="10" t="s">
        <v>312</v>
      </c>
      <c r="E178" s="10">
        <v>9820914808</v>
      </c>
      <c r="F178" s="12">
        <v>2.3475578703703706</v>
      </c>
      <c r="G178" s="10">
        <v>500.48</v>
      </c>
      <c r="H178" s="10">
        <v>208.12</v>
      </c>
      <c r="I178" s="12">
        <v>84.29965277777778</v>
      </c>
      <c r="J178" s="10">
        <v>32</v>
      </c>
      <c r="K178" s="10">
        <v>5</v>
      </c>
      <c r="L178" s="10" t="s">
        <v>930</v>
      </c>
      <c r="M178" s="10" t="s">
        <v>931</v>
      </c>
      <c r="N178" s="10">
        <v>251</v>
      </c>
      <c r="O178" s="10" t="s">
        <v>1950</v>
      </c>
      <c r="P178" s="13">
        <v>45970</v>
      </c>
    </row>
    <row r="179" spans="1:16" x14ac:dyDescent="0.25">
      <c r="A179" s="10" t="s">
        <v>498</v>
      </c>
      <c r="B179" s="10" t="s">
        <v>311</v>
      </c>
      <c r="C179" s="10" t="s">
        <v>29</v>
      </c>
      <c r="D179" s="10" t="s">
        <v>312</v>
      </c>
      <c r="E179" s="10">
        <v>9820914808</v>
      </c>
      <c r="F179" s="11">
        <v>0.81619212962962961</v>
      </c>
      <c r="G179" s="10">
        <v>1175.32</v>
      </c>
      <c r="H179" s="10">
        <v>108.01</v>
      </c>
      <c r="I179" s="12">
        <v>84.29965277777778</v>
      </c>
      <c r="J179" s="10">
        <v>18</v>
      </c>
      <c r="K179" s="10">
        <v>0</v>
      </c>
      <c r="L179" s="10" t="s">
        <v>1142</v>
      </c>
      <c r="M179" s="10" t="s">
        <v>1143</v>
      </c>
      <c r="N179" s="10">
        <v>198</v>
      </c>
      <c r="O179" s="10" t="s">
        <v>1950</v>
      </c>
      <c r="P179" s="13">
        <v>46059</v>
      </c>
    </row>
    <row r="180" spans="1:16" x14ac:dyDescent="0.25">
      <c r="A180" s="10" t="s">
        <v>499</v>
      </c>
      <c r="B180" s="10" t="s">
        <v>311</v>
      </c>
      <c r="C180" s="10" t="s">
        <v>29</v>
      </c>
      <c r="D180" s="10" t="s">
        <v>312</v>
      </c>
      <c r="E180" s="10">
        <v>9820914808</v>
      </c>
      <c r="F180" s="12">
        <v>1.5408449074074073</v>
      </c>
      <c r="G180" s="10">
        <v>778.82</v>
      </c>
      <c r="H180" s="10">
        <v>210.64</v>
      </c>
      <c r="I180" s="12">
        <v>84.29965277777778</v>
      </c>
      <c r="J180" s="10">
        <v>21</v>
      </c>
      <c r="K180" s="10">
        <v>7</v>
      </c>
      <c r="L180" s="10" t="s">
        <v>1092</v>
      </c>
      <c r="M180" s="10" t="s">
        <v>1093</v>
      </c>
      <c r="N180" s="10">
        <v>226</v>
      </c>
      <c r="O180" s="10" t="s">
        <v>1949</v>
      </c>
      <c r="P180" s="13">
        <v>45899</v>
      </c>
    </row>
    <row r="181" spans="1:16" x14ac:dyDescent="0.25">
      <c r="A181" s="10" t="s">
        <v>500</v>
      </c>
      <c r="B181" s="10" t="s">
        <v>311</v>
      </c>
      <c r="C181" s="10" t="s">
        <v>44</v>
      </c>
      <c r="D181" s="10" t="s">
        <v>501</v>
      </c>
      <c r="E181" s="10">
        <v>9033723386</v>
      </c>
      <c r="F181" s="10" t="s">
        <v>309</v>
      </c>
      <c r="G181" s="10"/>
      <c r="H181" s="10">
        <v>0</v>
      </c>
      <c r="I181" s="12">
        <v>84.337048611111115</v>
      </c>
      <c r="J181" s="10">
        <v>5</v>
      </c>
      <c r="K181" s="10">
        <v>0</v>
      </c>
      <c r="L181" s="10" t="s">
        <v>1557</v>
      </c>
      <c r="M181" s="10" t="s">
        <v>1558</v>
      </c>
      <c r="N181" s="10">
        <v>-68</v>
      </c>
      <c r="O181" s="10" t="s">
        <v>1950</v>
      </c>
      <c r="P181" s="10"/>
    </row>
    <row r="182" spans="1:16" x14ac:dyDescent="0.25">
      <c r="A182" s="10" t="s">
        <v>502</v>
      </c>
      <c r="B182" s="10" t="s">
        <v>311</v>
      </c>
      <c r="C182" s="10" t="s">
        <v>29</v>
      </c>
      <c r="D182" s="10" t="s">
        <v>312</v>
      </c>
      <c r="E182" s="10">
        <v>9820914808</v>
      </c>
      <c r="F182" s="12">
        <v>5.5485300925925927</v>
      </c>
      <c r="G182" s="10">
        <v>789.88</v>
      </c>
      <c r="H182" s="10">
        <v>1524.72</v>
      </c>
      <c r="I182" s="12">
        <v>84.29965277777778</v>
      </c>
      <c r="J182" s="10">
        <v>20</v>
      </c>
      <c r="K182" s="10">
        <v>0</v>
      </c>
      <c r="L182" s="10" t="s">
        <v>1106</v>
      </c>
      <c r="M182" s="10" t="s">
        <v>1107</v>
      </c>
      <c r="N182" s="10">
        <v>158</v>
      </c>
      <c r="O182" s="10" t="s">
        <v>1950</v>
      </c>
      <c r="P182" s="13">
        <v>46058</v>
      </c>
    </row>
    <row r="183" spans="1:16" x14ac:dyDescent="0.25">
      <c r="A183" s="10" t="s">
        <v>503</v>
      </c>
      <c r="B183" s="10" t="s">
        <v>311</v>
      </c>
      <c r="C183" s="10" t="s">
        <v>29</v>
      </c>
      <c r="D183" s="10" t="s">
        <v>312</v>
      </c>
      <c r="E183" s="10">
        <v>9820914808</v>
      </c>
      <c r="F183" s="12">
        <v>1.8322453703703703</v>
      </c>
      <c r="G183" s="10">
        <v>1198.43</v>
      </c>
      <c r="H183" s="10">
        <v>28105099670915.301</v>
      </c>
      <c r="I183" s="12">
        <v>84.29965277777778</v>
      </c>
      <c r="J183" s="10">
        <v>30</v>
      </c>
      <c r="K183" s="10">
        <v>10</v>
      </c>
      <c r="L183" s="10" t="s">
        <v>950</v>
      </c>
      <c r="M183" s="10" t="s">
        <v>951</v>
      </c>
      <c r="N183" s="10">
        <v>195</v>
      </c>
      <c r="O183" s="10" t="s">
        <v>1949</v>
      </c>
      <c r="P183" s="13">
        <v>46042</v>
      </c>
    </row>
    <row r="184" spans="1:16" x14ac:dyDescent="0.25">
      <c r="A184" s="10" t="s">
        <v>504</v>
      </c>
      <c r="B184" s="10" t="s">
        <v>311</v>
      </c>
      <c r="C184" s="10" t="s">
        <v>29</v>
      </c>
      <c r="D184" s="10" t="s">
        <v>312</v>
      </c>
      <c r="E184" s="10">
        <v>9820914808</v>
      </c>
      <c r="F184" s="11">
        <v>0.52350694444444446</v>
      </c>
      <c r="G184" s="10">
        <v>753.85</v>
      </c>
      <c r="H184" s="10">
        <v>0</v>
      </c>
      <c r="I184" s="12">
        <v>84.29965277777778</v>
      </c>
      <c r="J184" s="10">
        <v>3</v>
      </c>
      <c r="K184" s="10">
        <v>0</v>
      </c>
      <c r="L184" s="10" t="s">
        <v>1703</v>
      </c>
      <c r="M184" s="10" t="s">
        <v>1704</v>
      </c>
      <c r="N184" s="10">
        <v>165</v>
      </c>
      <c r="O184" s="10" t="s">
        <v>1950</v>
      </c>
      <c r="P184" s="13">
        <v>46153</v>
      </c>
    </row>
    <row r="185" spans="1:16" x14ac:dyDescent="0.25">
      <c r="A185" s="10" t="s">
        <v>505</v>
      </c>
      <c r="B185" s="10" t="s">
        <v>311</v>
      </c>
      <c r="C185" s="10" t="s">
        <v>29</v>
      </c>
      <c r="D185" s="10" t="s">
        <v>312</v>
      </c>
      <c r="E185" s="10">
        <v>9820914808</v>
      </c>
      <c r="F185" s="12">
        <v>5.1451967592592593</v>
      </c>
      <c r="G185" s="10">
        <v>209.08</v>
      </c>
      <c r="H185" s="10">
        <v>768.95</v>
      </c>
      <c r="I185" s="12">
        <v>84.29965277777778</v>
      </c>
      <c r="J185" s="10">
        <v>11</v>
      </c>
      <c r="K185" s="10">
        <v>2</v>
      </c>
      <c r="L185" s="10" t="s">
        <v>1313</v>
      </c>
      <c r="M185" s="10" t="s">
        <v>1314</v>
      </c>
      <c r="N185" s="10">
        <v>170</v>
      </c>
      <c r="O185" s="10" t="s">
        <v>1950</v>
      </c>
      <c r="P185" s="13">
        <v>45993</v>
      </c>
    </row>
    <row r="186" spans="1:16" x14ac:dyDescent="0.25">
      <c r="A186" s="10" t="s">
        <v>506</v>
      </c>
      <c r="B186" s="10" t="s">
        <v>311</v>
      </c>
      <c r="C186" s="10" t="s">
        <v>29</v>
      </c>
      <c r="D186" s="10" t="s">
        <v>312</v>
      </c>
      <c r="E186" s="10">
        <v>9820914808</v>
      </c>
      <c r="F186" s="10" t="s">
        <v>309</v>
      </c>
      <c r="G186" s="10"/>
      <c r="H186" s="10">
        <v>0</v>
      </c>
      <c r="I186" s="12">
        <v>84.29965277777778</v>
      </c>
      <c r="J186" s="10">
        <v>2</v>
      </c>
      <c r="K186" s="10">
        <v>0</v>
      </c>
      <c r="L186" s="10" t="s">
        <v>1775</v>
      </c>
      <c r="M186" s="10" t="s">
        <v>1776</v>
      </c>
      <c r="N186" s="10">
        <v>154</v>
      </c>
      <c r="O186" s="10" t="s">
        <v>1950</v>
      </c>
      <c r="P186" s="10"/>
    </row>
    <row r="187" spans="1:16" x14ac:dyDescent="0.25">
      <c r="A187" s="10" t="s">
        <v>507</v>
      </c>
      <c r="B187" s="10" t="s">
        <v>311</v>
      </c>
      <c r="C187" s="10" t="s">
        <v>29</v>
      </c>
      <c r="D187" s="10" t="s">
        <v>312</v>
      </c>
      <c r="E187" s="10">
        <v>9820914808</v>
      </c>
      <c r="F187" s="12">
        <v>5.5077314814814811</v>
      </c>
      <c r="G187" s="10">
        <v>731.13</v>
      </c>
      <c r="H187" s="10">
        <v>4955796995.04</v>
      </c>
      <c r="I187" s="12">
        <v>84.29965277777778</v>
      </c>
      <c r="J187" s="10">
        <v>38</v>
      </c>
      <c r="K187" s="10">
        <v>4</v>
      </c>
      <c r="L187" s="10" t="s">
        <v>872</v>
      </c>
      <c r="M187" s="10" t="s">
        <v>873</v>
      </c>
      <c r="N187" s="10">
        <v>175</v>
      </c>
      <c r="O187" s="10" t="s">
        <v>1950</v>
      </c>
      <c r="P187" s="13">
        <v>46151</v>
      </c>
    </row>
    <row r="188" spans="1:16" x14ac:dyDescent="0.25">
      <c r="A188" s="10" t="s">
        <v>508</v>
      </c>
      <c r="B188" s="10" t="s">
        <v>311</v>
      </c>
      <c r="C188" s="10" t="s">
        <v>29</v>
      </c>
      <c r="D188" s="10" t="s">
        <v>312</v>
      </c>
      <c r="E188" s="10">
        <v>9820914808</v>
      </c>
      <c r="F188" s="11">
        <v>0.33148148148148149</v>
      </c>
      <c r="G188" s="10">
        <v>477.33</v>
      </c>
      <c r="H188" s="10">
        <v>19.43</v>
      </c>
      <c r="I188" s="12">
        <v>84.29965277777778</v>
      </c>
      <c r="J188" s="10">
        <v>12</v>
      </c>
      <c r="K188" s="10">
        <v>5</v>
      </c>
      <c r="L188" s="10" t="s">
        <v>1285</v>
      </c>
      <c r="M188" s="10" t="s">
        <v>1286</v>
      </c>
      <c r="N188" s="10">
        <v>185</v>
      </c>
      <c r="O188" s="10" t="s">
        <v>1949</v>
      </c>
      <c r="P188" s="13">
        <v>46059</v>
      </c>
    </row>
    <row r="189" spans="1:16" x14ac:dyDescent="0.25">
      <c r="A189" s="10" t="s">
        <v>509</v>
      </c>
      <c r="B189" s="10" t="s">
        <v>311</v>
      </c>
      <c r="C189" s="10" t="s">
        <v>29</v>
      </c>
      <c r="D189" s="10" t="s">
        <v>312</v>
      </c>
      <c r="E189" s="10">
        <v>9820914808</v>
      </c>
      <c r="F189" s="12">
        <v>1.1978703703703704</v>
      </c>
      <c r="G189" s="10">
        <v>284.93</v>
      </c>
      <c r="H189" s="10">
        <v>199.57</v>
      </c>
      <c r="I189" s="12">
        <v>84.29965277777778</v>
      </c>
      <c r="J189" s="10">
        <v>22</v>
      </c>
      <c r="K189" s="10">
        <v>0</v>
      </c>
      <c r="L189" s="10" t="s">
        <v>1074</v>
      </c>
      <c r="M189" s="10" t="s">
        <v>1075</v>
      </c>
      <c r="N189" s="10">
        <v>220</v>
      </c>
      <c r="O189" s="10" t="s">
        <v>1950</v>
      </c>
      <c r="P189" s="13">
        <v>46045</v>
      </c>
    </row>
    <row r="190" spans="1:16" x14ac:dyDescent="0.25">
      <c r="A190" s="10" t="s">
        <v>510</v>
      </c>
      <c r="B190" s="10" t="s">
        <v>311</v>
      </c>
      <c r="C190" s="10" t="s">
        <v>29</v>
      </c>
      <c r="D190" s="10" t="s">
        <v>312</v>
      </c>
      <c r="E190" s="10">
        <v>9820914808</v>
      </c>
      <c r="F190" s="11">
        <v>0.85483796296296299</v>
      </c>
      <c r="G190" s="10">
        <v>1230.97</v>
      </c>
      <c r="H190" s="10">
        <v>107.39</v>
      </c>
      <c r="I190" s="12">
        <v>84.29965277777778</v>
      </c>
      <c r="J190" s="10">
        <v>18</v>
      </c>
      <c r="K190" s="10">
        <v>4</v>
      </c>
      <c r="L190" s="10" t="s">
        <v>1140</v>
      </c>
      <c r="M190" s="10" t="s">
        <v>1141</v>
      </c>
      <c r="N190" s="10">
        <v>196</v>
      </c>
      <c r="O190" s="10" t="s">
        <v>1950</v>
      </c>
      <c r="P190" s="13">
        <v>45689</v>
      </c>
    </row>
    <row r="191" spans="1:16" x14ac:dyDescent="0.25">
      <c r="A191" s="10" t="s">
        <v>511</v>
      </c>
      <c r="B191" s="10" t="s">
        <v>311</v>
      </c>
      <c r="C191" s="10" t="s">
        <v>29</v>
      </c>
      <c r="D191" s="10" t="s">
        <v>312</v>
      </c>
      <c r="E191" s="10">
        <v>9820914808</v>
      </c>
      <c r="F191" s="11">
        <v>0.27361111111111114</v>
      </c>
      <c r="G191" s="10">
        <v>394</v>
      </c>
      <c r="H191" s="10">
        <v>21.93</v>
      </c>
      <c r="I191" s="12">
        <v>84.29965277777778</v>
      </c>
      <c r="J191" s="10">
        <v>10</v>
      </c>
      <c r="K191" s="10">
        <v>4</v>
      </c>
      <c r="L191" s="10" t="s">
        <v>1346</v>
      </c>
      <c r="M191" s="10" t="s">
        <v>1347</v>
      </c>
      <c r="N191" s="10">
        <v>185</v>
      </c>
      <c r="O191" s="10" t="s">
        <v>1950</v>
      </c>
      <c r="P191" s="13">
        <v>45767</v>
      </c>
    </row>
    <row r="192" spans="1:16" x14ac:dyDescent="0.25">
      <c r="A192" s="10" t="s">
        <v>512</v>
      </c>
      <c r="B192" s="10" t="s">
        <v>311</v>
      </c>
      <c r="C192" s="10" t="s">
        <v>29</v>
      </c>
      <c r="D192" s="10" t="s">
        <v>312</v>
      </c>
      <c r="E192" s="10">
        <v>9820914808</v>
      </c>
      <c r="F192" s="12">
        <v>4.0789583333333335</v>
      </c>
      <c r="G192" s="10">
        <v>113.7</v>
      </c>
      <c r="H192" s="10">
        <v>760.75</v>
      </c>
      <c r="I192" s="12">
        <v>84.29965277777778</v>
      </c>
      <c r="J192" s="10">
        <v>19</v>
      </c>
      <c r="K192" s="10">
        <v>8</v>
      </c>
      <c r="L192" s="10" t="s">
        <v>1126</v>
      </c>
      <c r="M192" s="10" t="s">
        <v>1127</v>
      </c>
      <c r="N192" s="10">
        <v>205</v>
      </c>
      <c r="O192" s="10" t="s">
        <v>1949</v>
      </c>
      <c r="P192" s="13">
        <v>46087</v>
      </c>
    </row>
    <row r="193" spans="1:16" x14ac:dyDescent="0.25">
      <c r="A193" s="10" t="s">
        <v>513</v>
      </c>
      <c r="B193" s="10" t="s">
        <v>311</v>
      </c>
      <c r="C193" s="10" t="s">
        <v>29</v>
      </c>
      <c r="D193" s="10" t="s">
        <v>312</v>
      </c>
      <c r="E193" s="10">
        <v>9820914808</v>
      </c>
      <c r="F193" s="12">
        <v>1.4395949074074075</v>
      </c>
      <c r="G193" s="10">
        <v>633.02</v>
      </c>
      <c r="H193" s="10">
        <v>242.06</v>
      </c>
      <c r="I193" s="12">
        <v>84.29965277777778</v>
      </c>
      <c r="J193" s="10">
        <v>15</v>
      </c>
      <c r="K193" s="10">
        <v>5</v>
      </c>
      <c r="L193" s="10" t="s">
        <v>1216</v>
      </c>
      <c r="M193" s="10" t="s">
        <v>1217</v>
      </c>
      <c r="N193" s="10">
        <v>245</v>
      </c>
      <c r="O193" s="10" t="s">
        <v>1949</v>
      </c>
      <c r="P193" s="13">
        <v>46075</v>
      </c>
    </row>
    <row r="194" spans="1:16" x14ac:dyDescent="0.25">
      <c r="A194" s="10" t="s">
        <v>514</v>
      </c>
      <c r="B194" s="10" t="s">
        <v>311</v>
      </c>
      <c r="C194" s="10" t="s">
        <v>29</v>
      </c>
      <c r="D194" s="10" t="s">
        <v>312</v>
      </c>
      <c r="E194" s="10">
        <v>9820914808</v>
      </c>
      <c r="F194" s="12">
        <v>2.2299652777777776</v>
      </c>
      <c r="G194" s="10">
        <v>331.15</v>
      </c>
      <c r="H194" s="10">
        <v>509.27</v>
      </c>
      <c r="I194" s="12">
        <v>84.29965277777778</v>
      </c>
      <c r="J194" s="10">
        <v>31</v>
      </c>
      <c r="K194" s="10">
        <v>11</v>
      </c>
      <c r="L194" s="10" t="s">
        <v>938</v>
      </c>
      <c r="M194" s="10" t="s">
        <v>939</v>
      </c>
      <c r="N194" s="10">
        <v>230</v>
      </c>
      <c r="O194" s="10" t="s">
        <v>1949</v>
      </c>
      <c r="P194" s="13">
        <v>46087</v>
      </c>
    </row>
    <row r="195" spans="1:16" x14ac:dyDescent="0.25">
      <c r="A195" s="10" t="s">
        <v>515</v>
      </c>
      <c r="B195" s="10" t="s">
        <v>311</v>
      </c>
      <c r="C195" s="10" t="s">
        <v>29</v>
      </c>
      <c r="D195" s="10" t="s">
        <v>312</v>
      </c>
      <c r="E195" s="10">
        <v>9820914808</v>
      </c>
      <c r="F195" s="12">
        <v>3.6531250000000002</v>
      </c>
      <c r="G195" s="10">
        <v>940.5</v>
      </c>
      <c r="H195" s="10">
        <v>890.86</v>
      </c>
      <c r="I195" s="12">
        <v>84.29965277777778</v>
      </c>
      <c r="J195" s="10">
        <v>26</v>
      </c>
      <c r="K195" s="10">
        <v>10</v>
      </c>
      <c r="L195" s="10" t="s">
        <v>1016</v>
      </c>
      <c r="M195" s="10" t="s">
        <v>1017</v>
      </c>
      <c r="N195" s="10">
        <v>271</v>
      </c>
      <c r="O195" s="10" t="s">
        <v>1950</v>
      </c>
      <c r="P195" s="13">
        <v>46149</v>
      </c>
    </row>
    <row r="196" spans="1:16" x14ac:dyDescent="0.25">
      <c r="A196" s="10" t="s">
        <v>516</v>
      </c>
      <c r="B196" s="10" t="s">
        <v>311</v>
      </c>
      <c r="C196" s="10" t="s">
        <v>29</v>
      </c>
      <c r="D196" s="10" t="s">
        <v>312</v>
      </c>
      <c r="E196" s="10">
        <v>9820914808</v>
      </c>
      <c r="F196" s="12">
        <v>6.2580902777777778</v>
      </c>
      <c r="G196" s="10">
        <v>371.65</v>
      </c>
      <c r="H196" s="10">
        <v>1367.16</v>
      </c>
      <c r="I196" s="12">
        <v>84.29965277777778</v>
      </c>
      <c r="J196" s="10">
        <v>35</v>
      </c>
      <c r="K196" s="10">
        <v>11</v>
      </c>
      <c r="L196" s="10" t="s">
        <v>894</v>
      </c>
      <c r="M196" s="10" t="s">
        <v>895</v>
      </c>
      <c r="N196" s="10">
        <v>215</v>
      </c>
      <c r="O196" s="10" t="s">
        <v>1949</v>
      </c>
      <c r="P196" s="13">
        <v>46099</v>
      </c>
    </row>
    <row r="197" spans="1:16" x14ac:dyDescent="0.25">
      <c r="A197" s="10" t="s">
        <v>517</v>
      </c>
      <c r="B197" s="10" t="s">
        <v>311</v>
      </c>
      <c r="C197" s="10" t="s">
        <v>29</v>
      </c>
      <c r="D197" s="10" t="s">
        <v>312</v>
      </c>
      <c r="E197" s="10">
        <v>9820914808</v>
      </c>
      <c r="F197" s="11">
        <v>0.50521990740740741</v>
      </c>
      <c r="G197" s="10">
        <v>727.52</v>
      </c>
      <c r="H197" s="10">
        <v>60.77</v>
      </c>
      <c r="I197" s="12">
        <v>84.29965277777778</v>
      </c>
      <c r="J197" s="10">
        <v>11</v>
      </c>
      <c r="K197" s="10">
        <v>5</v>
      </c>
      <c r="L197" s="10" t="s">
        <v>1319</v>
      </c>
      <c r="M197" s="10" t="s">
        <v>1320</v>
      </c>
      <c r="N197" s="10">
        <v>180</v>
      </c>
      <c r="O197" s="10" t="s">
        <v>1949</v>
      </c>
      <c r="P197" s="13">
        <v>46041</v>
      </c>
    </row>
    <row r="198" spans="1:16" x14ac:dyDescent="0.25">
      <c r="A198" s="10" t="s">
        <v>518</v>
      </c>
      <c r="B198" s="10" t="s">
        <v>311</v>
      </c>
      <c r="C198" s="10" t="s">
        <v>29</v>
      </c>
      <c r="D198" s="10" t="s">
        <v>312</v>
      </c>
      <c r="E198" s="10">
        <v>9820914808</v>
      </c>
      <c r="F198" s="12">
        <v>3.3527893518518517</v>
      </c>
      <c r="G198" s="10">
        <v>508.02</v>
      </c>
      <c r="H198" s="10">
        <v>932.76</v>
      </c>
      <c r="I198" s="12">
        <v>84.29965277777778</v>
      </c>
      <c r="J198" s="10">
        <v>21</v>
      </c>
      <c r="K198" s="10">
        <v>4</v>
      </c>
      <c r="L198" s="10" t="s">
        <v>1098</v>
      </c>
      <c r="M198" s="10" t="s">
        <v>1099</v>
      </c>
      <c r="N198" s="10">
        <v>275</v>
      </c>
      <c r="O198" s="10" t="s">
        <v>1949</v>
      </c>
      <c r="P198" s="13">
        <v>46047</v>
      </c>
    </row>
    <row r="199" spans="1:16" x14ac:dyDescent="0.25">
      <c r="A199" s="10" t="s">
        <v>519</v>
      </c>
      <c r="B199" s="10" t="s">
        <v>311</v>
      </c>
      <c r="C199" s="10" t="s">
        <v>29</v>
      </c>
      <c r="D199" s="10" t="s">
        <v>312</v>
      </c>
      <c r="E199" s="10">
        <v>9820914808</v>
      </c>
      <c r="F199" s="12">
        <v>2.258136574074074</v>
      </c>
      <c r="G199" s="10">
        <v>371.72</v>
      </c>
      <c r="H199" s="10">
        <v>452.87</v>
      </c>
      <c r="I199" s="12">
        <v>84.29965277777778</v>
      </c>
      <c r="J199" s="10">
        <v>59</v>
      </c>
      <c r="K199" s="10">
        <v>22</v>
      </c>
      <c r="L199" s="10" t="s">
        <v>805</v>
      </c>
      <c r="M199" s="10" t="s">
        <v>806</v>
      </c>
      <c r="N199" s="10">
        <v>175</v>
      </c>
      <c r="O199" s="10" t="s">
        <v>1949</v>
      </c>
      <c r="P199" s="13">
        <v>46153</v>
      </c>
    </row>
    <row r="200" spans="1:16" x14ac:dyDescent="0.25">
      <c r="A200" s="10" t="s">
        <v>520</v>
      </c>
      <c r="B200" s="10" t="s">
        <v>311</v>
      </c>
      <c r="C200" s="10" t="s">
        <v>29</v>
      </c>
      <c r="D200" s="10" t="s">
        <v>312</v>
      </c>
      <c r="E200" s="10">
        <v>9820914808</v>
      </c>
      <c r="F200" s="12">
        <v>1.9113773148148148</v>
      </c>
      <c r="G200" s="10">
        <v>1312.38</v>
      </c>
      <c r="H200" s="10">
        <v>402.5</v>
      </c>
      <c r="I200" s="12">
        <v>84.29965277777778</v>
      </c>
      <c r="J200" s="10">
        <v>13</v>
      </c>
      <c r="K200" s="10">
        <v>4</v>
      </c>
      <c r="L200" s="10" t="s">
        <v>1265</v>
      </c>
      <c r="M200" s="10" t="s">
        <v>1266</v>
      </c>
      <c r="N200" s="10">
        <v>230</v>
      </c>
      <c r="O200" s="10" t="s">
        <v>1950</v>
      </c>
      <c r="P200" s="13">
        <v>45885</v>
      </c>
    </row>
    <row r="201" spans="1:16" x14ac:dyDescent="0.25">
      <c r="A201" s="10" t="s">
        <v>521</v>
      </c>
      <c r="B201" s="10" t="s">
        <v>311</v>
      </c>
      <c r="C201" s="10" t="s">
        <v>29</v>
      </c>
      <c r="D201" s="10" t="s">
        <v>312</v>
      </c>
      <c r="E201" s="10">
        <v>9820914808</v>
      </c>
      <c r="F201" s="12">
        <v>5.4092824074074075</v>
      </c>
      <c r="G201" s="10">
        <v>589.37</v>
      </c>
      <c r="H201" s="10">
        <v>1110.08</v>
      </c>
      <c r="I201" s="12">
        <v>84.29965277777778</v>
      </c>
      <c r="J201" s="10">
        <v>24</v>
      </c>
      <c r="K201" s="10">
        <v>6</v>
      </c>
      <c r="L201" s="10" t="s">
        <v>1038</v>
      </c>
      <c r="M201" s="10" t="s">
        <v>1039</v>
      </c>
      <c r="N201" s="10">
        <v>268</v>
      </c>
      <c r="O201" s="10" t="s">
        <v>1950</v>
      </c>
      <c r="P201" s="13">
        <v>46065</v>
      </c>
    </row>
    <row r="202" spans="1:16" x14ac:dyDescent="0.25">
      <c r="A202" s="10" t="s">
        <v>522</v>
      </c>
      <c r="B202" s="10" t="s">
        <v>311</v>
      </c>
      <c r="C202" s="10" t="s">
        <v>29</v>
      </c>
      <c r="D202" s="10" t="s">
        <v>312</v>
      </c>
      <c r="E202" s="10">
        <v>9820914808</v>
      </c>
      <c r="F202" s="12">
        <v>6.6973726851851856</v>
      </c>
      <c r="G202" s="10">
        <v>1004.22</v>
      </c>
      <c r="H202" s="10">
        <v>1500.17</v>
      </c>
      <c r="I202" s="12">
        <v>84.29965277777778</v>
      </c>
      <c r="J202" s="10">
        <v>49</v>
      </c>
      <c r="K202" s="10">
        <v>15</v>
      </c>
      <c r="L202" s="10" t="s">
        <v>823</v>
      </c>
      <c r="M202" s="10" t="s">
        <v>824</v>
      </c>
      <c r="N202" s="10">
        <v>179</v>
      </c>
      <c r="O202" s="10" t="s">
        <v>1949</v>
      </c>
      <c r="P202" s="13">
        <v>45952</v>
      </c>
    </row>
    <row r="203" spans="1:16" x14ac:dyDescent="0.25">
      <c r="A203" s="10" t="s">
        <v>523</v>
      </c>
      <c r="B203" s="10" t="s">
        <v>311</v>
      </c>
      <c r="C203" s="10" t="s">
        <v>29</v>
      </c>
      <c r="D203" s="10" t="s">
        <v>312</v>
      </c>
      <c r="E203" s="10">
        <v>9820914808</v>
      </c>
      <c r="F203" s="11">
        <v>0.50164351851851852</v>
      </c>
      <c r="G203" s="10">
        <v>722.37</v>
      </c>
      <c r="H203" s="10">
        <v>53.08</v>
      </c>
      <c r="I203" s="12">
        <v>84.29965277777778</v>
      </c>
      <c r="J203" s="10">
        <v>15</v>
      </c>
      <c r="K203" s="10">
        <v>6</v>
      </c>
      <c r="L203" s="10" t="s">
        <v>1204</v>
      </c>
      <c r="M203" s="10" t="s">
        <v>1205</v>
      </c>
      <c r="N203" s="10">
        <v>172</v>
      </c>
      <c r="O203" s="10" t="s">
        <v>1949</v>
      </c>
      <c r="P203" s="13">
        <v>45901</v>
      </c>
    </row>
    <row r="204" spans="1:16" x14ac:dyDescent="0.25">
      <c r="A204" s="10" t="s">
        <v>524</v>
      </c>
      <c r="B204" s="10" t="s">
        <v>311</v>
      </c>
      <c r="C204" s="10" t="s">
        <v>29</v>
      </c>
      <c r="D204" s="10" t="s">
        <v>312</v>
      </c>
      <c r="E204" s="10">
        <v>9820914808</v>
      </c>
      <c r="F204" s="12">
        <v>10.810995370370371</v>
      </c>
      <c r="G204" s="10">
        <v>1167.83</v>
      </c>
      <c r="H204" s="10">
        <v>2454.46</v>
      </c>
      <c r="I204" s="12">
        <v>84.29965277777778</v>
      </c>
      <c r="J204" s="10">
        <v>29</v>
      </c>
      <c r="K204" s="10">
        <v>14</v>
      </c>
      <c r="L204" s="10" t="s">
        <v>958</v>
      </c>
      <c r="M204" s="10" t="s">
        <v>959</v>
      </c>
      <c r="N204" s="10">
        <v>152</v>
      </c>
      <c r="O204" s="10" t="s">
        <v>1949</v>
      </c>
      <c r="P204" s="13">
        <v>45973</v>
      </c>
    </row>
    <row r="205" spans="1:16" x14ac:dyDescent="0.25">
      <c r="A205" s="10" t="s">
        <v>525</v>
      </c>
      <c r="B205" s="10" t="s">
        <v>311</v>
      </c>
      <c r="C205" s="10" t="s">
        <v>29</v>
      </c>
      <c r="D205" s="10" t="s">
        <v>312</v>
      </c>
      <c r="E205" s="10">
        <v>9820914808</v>
      </c>
      <c r="F205" s="11">
        <v>0.42591435185185184</v>
      </c>
      <c r="G205" s="10">
        <v>613.32000000000005</v>
      </c>
      <c r="H205" s="10">
        <v>22.77</v>
      </c>
      <c r="I205" s="12">
        <v>84.29965277777778</v>
      </c>
      <c r="J205" s="10">
        <v>15</v>
      </c>
      <c r="K205" s="10">
        <v>6</v>
      </c>
      <c r="L205" s="10" t="s">
        <v>1214</v>
      </c>
      <c r="M205" s="10" t="s">
        <v>1215</v>
      </c>
      <c r="N205" s="10">
        <v>204</v>
      </c>
      <c r="O205" s="10" t="s">
        <v>1949</v>
      </c>
      <c r="P205" s="13">
        <v>45810</v>
      </c>
    </row>
    <row r="206" spans="1:16" x14ac:dyDescent="0.25">
      <c r="A206" s="10" t="s">
        <v>526</v>
      </c>
      <c r="B206" s="10" t="s">
        <v>311</v>
      </c>
      <c r="C206" s="10" t="s">
        <v>29</v>
      </c>
      <c r="D206" s="10" t="s">
        <v>312</v>
      </c>
      <c r="E206" s="10">
        <v>9820914808</v>
      </c>
      <c r="F206" s="11">
        <v>0.18930555555555556</v>
      </c>
      <c r="G206" s="10">
        <v>272.60000000000002</v>
      </c>
      <c r="H206" s="10">
        <v>30.25</v>
      </c>
      <c r="I206" s="12">
        <v>84.29965277777778</v>
      </c>
      <c r="J206" s="10">
        <v>6</v>
      </c>
      <c r="K206" s="10">
        <v>0</v>
      </c>
      <c r="L206" s="10" t="s">
        <v>1510</v>
      </c>
      <c r="M206" s="10" t="s">
        <v>1511</v>
      </c>
      <c r="N206" s="10">
        <v>315</v>
      </c>
      <c r="O206" s="10" t="s">
        <v>1950</v>
      </c>
      <c r="P206" s="13">
        <v>45584</v>
      </c>
    </row>
    <row r="207" spans="1:16" x14ac:dyDescent="0.25">
      <c r="A207" s="10" t="s">
        <v>527</v>
      </c>
      <c r="B207" s="10" t="s">
        <v>311</v>
      </c>
      <c r="C207" s="10" t="s">
        <v>29</v>
      </c>
      <c r="D207" s="10" t="s">
        <v>312</v>
      </c>
      <c r="E207" s="10">
        <v>9820914808</v>
      </c>
      <c r="F207" s="12">
        <v>9.2887615740740745</v>
      </c>
      <c r="G207" s="10">
        <v>415.82</v>
      </c>
      <c r="H207" s="10">
        <v>1173.06</v>
      </c>
      <c r="I207" s="12">
        <v>84.29965277777778</v>
      </c>
      <c r="J207" s="10">
        <v>43</v>
      </c>
      <c r="K207" s="10">
        <v>15</v>
      </c>
      <c r="L207" s="10" t="s">
        <v>836</v>
      </c>
      <c r="M207" s="10" t="s">
        <v>837</v>
      </c>
      <c r="N207" s="10">
        <v>206</v>
      </c>
      <c r="O207" s="10" t="s">
        <v>1949</v>
      </c>
      <c r="P207" s="13">
        <v>46152</v>
      </c>
    </row>
    <row r="208" spans="1:16" x14ac:dyDescent="0.25">
      <c r="A208" s="10" t="s">
        <v>528</v>
      </c>
      <c r="B208" s="10" t="s">
        <v>311</v>
      </c>
      <c r="C208" s="10" t="s">
        <v>29</v>
      </c>
      <c r="D208" s="10" t="s">
        <v>312</v>
      </c>
      <c r="E208" s="10">
        <v>9820914808</v>
      </c>
      <c r="F208" s="12">
        <v>1.2289583333333334</v>
      </c>
      <c r="G208" s="10">
        <v>329.7</v>
      </c>
      <c r="H208" s="10">
        <v>3129087636.5300002</v>
      </c>
      <c r="I208" s="12">
        <v>84.29965277777778</v>
      </c>
      <c r="J208" s="10">
        <v>26</v>
      </c>
      <c r="K208" s="10">
        <v>12</v>
      </c>
      <c r="L208" s="10" t="s">
        <v>1012</v>
      </c>
      <c r="M208" s="10" t="s">
        <v>1013</v>
      </c>
      <c r="N208" s="10">
        <v>219</v>
      </c>
      <c r="O208" s="10" t="s">
        <v>1949</v>
      </c>
      <c r="P208" s="13">
        <v>45976</v>
      </c>
    </row>
    <row r="209" spans="1:16" x14ac:dyDescent="0.25">
      <c r="A209" s="10" t="s">
        <v>529</v>
      </c>
      <c r="B209" s="10" t="s">
        <v>311</v>
      </c>
      <c r="C209" s="10" t="s">
        <v>11</v>
      </c>
      <c r="D209" s="10" t="s">
        <v>530</v>
      </c>
      <c r="E209" s="10">
        <v>9898887463</v>
      </c>
      <c r="F209" s="11">
        <v>0.20862268518518517</v>
      </c>
      <c r="G209" s="10">
        <v>300.42</v>
      </c>
      <c r="H209" s="10">
        <v>19.170000000000002</v>
      </c>
      <c r="I209" s="12">
        <v>84.257881944444449</v>
      </c>
      <c r="J209" s="10">
        <v>2</v>
      </c>
      <c r="K209" s="10">
        <v>0</v>
      </c>
      <c r="L209" s="10" t="s">
        <v>1821</v>
      </c>
      <c r="M209" s="10" t="s">
        <v>1822</v>
      </c>
      <c r="N209" s="10">
        <v>1022</v>
      </c>
      <c r="O209" s="10" t="s">
        <v>1950</v>
      </c>
      <c r="P209" s="13">
        <v>45980</v>
      </c>
    </row>
    <row r="210" spans="1:16" x14ac:dyDescent="0.25">
      <c r="A210" s="10" t="s">
        <v>531</v>
      </c>
      <c r="B210" s="10" t="s">
        <v>311</v>
      </c>
      <c r="C210" s="10" t="s">
        <v>29</v>
      </c>
      <c r="D210" s="10" t="s">
        <v>312</v>
      </c>
      <c r="E210" s="10">
        <v>9820914808</v>
      </c>
      <c r="F210" s="12">
        <v>1.2991435185185185</v>
      </c>
      <c r="G210" s="10">
        <v>430.77</v>
      </c>
      <c r="H210" s="10">
        <v>127.95</v>
      </c>
      <c r="I210" s="12">
        <v>84.29965277777778</v>
      </c>
      <c r="J210" s="10">
        <v>22</v>
      </c>
      <c r="K210" s="10">
        <v>15</v>
      </c>
      <c r="L210" s="10" t="s">
        <v>1066</v>
      </c>
      <c r="M210" s="10" t="s">
        <v>1067</v>
      </c>
      <c r="N210" s="10">
        <v>169</v>
      </c>
      <c r="O210" s="10" t="s">
        <v>1949</v>
      </c>
      <c r="P210" s="13">
        <v>45775</v>
      </c>
    </row>
    <row r="211" spans="1:16" x14ac:dyDescent="0.25">
      <c r="A211" s="10" t="s">
        <v>532</v>
      </c>
      <c r="B211" s="10" t="s">
        <v>311</v>
      </c>
      <c r="C211" s="10" t="s">
        <v>29</v>
      </c>
      <c r="D211" s="10" t="s">
        <v>312</v>
      </c>
      <c r="E211" s="10">
        <v>9820914808</v>
      </c>
      <c r="F211" s="12">
        <v>2.857523148148148</v>
      </c>
      <c r="G211" s="10">
        <v>1234.83</v>
      </c>
      <c r="H211" s="10">
        <v>415.4</v>
      </c>
      <c r="I211" s="12">
        <v>84.29965277777778</v>
      </c>
      <c r="J211" s="10">
        <v>22</v>
      </c>
      <c r="K211" s="10">
        <v>9</v>
      </c>
      <c r="L211" s="10" t="s">
        <v>1068</v>
      </c>
      <c r="M211" s="10" t="s">
        <v>1069</v>
      </c>
      <c r="N211" s="10">
        <v>171</v>
      </c>
      <c r="O211" s="10" t="s">
        <v>1949</v>
      </c>
      <c r="P211" s="13">
        <v>46057</v>
      </c>
    </row>
    <row r="212" spans="1:16" x14ac:dyDescent="0.25">
      <c r="A212" s="10" t="s">
        <v>533</v>
      </c>
      <c r="B212" s="10" t="s">
        <v>311</v>
      </c>
      <c r="C212" s="10" t="s">
        <v>29</v>
      </c>
      <c r="D212" s="10" t="s">
        <v>312</v>
      </c>
      <c r="E212" s="10">
        <v>9820914808</v>
      </c>
      <c r="F212" s="12">
        <v>4.3381134259259255</v>
      </c>
      <c r="G212" s="10">
        <v>486.88</v>
      </c>
      <c r="H212" s="10">
        <v>944.08</v>
      </c>
      <c r="I212" s="12">
        <v>84.29965277777778</v>
      </c>
      <c r="J212" s="10">
        <v>47</v>
      </c>
      <c r="K212" s="10">
        <v>17</v>
      </c>
      <c r="L212" s="10" t="s">
        <v>829</v>
      </c>
      <c r="M212" s="10" t="s">
        <v>830</v>
      </c>
      <c r="N212" s="10">
        <v>253</v>
      </c>
      <c r="O212" s="10" t="s">
        <v>1949</v>
      </c>
      <c r="P212" s="13">
        <v>46149</v>
      </c>
    </row>
    <row r="213" spans="1:16" x14ac:dyDescent="0.25">
      <c r="A213" s="10" t="s">
        <v>534</v>
      </c>
      <c r="B213" s="10" t="s">
        <v>311</v>
      </c>
      <c r="C213" s="10" t="s">
        <v>29</v>
      </c>
      <c r="D213" s="10" t="s">
        <v>312</v>
      </c>
      <c r="E213" s="10">
        <v>9820914808</v>
      </c>
      <c r="F213" s="12">
        <v>4.9221527777777778</v>
      </c>
      <c r="G213" s="10">
        <v>1327.9</v>
      </c>
      <c r="H213" s="10">
        <v>1310.27</v>
      </c>
      <c r="I213" s="12">
        <v>84.29965277777778</v>
      </c>
      <c r="J213" s="10">
        <v>34</v>
      </c>
      <c r="K213" s="10">
        <v>4</v>
      </c>
      <c r="L213" s="10" t="s">
        <v>898</v>
      </c>
      <c r="M213" s="10" t="s">
        <v>899</v>
      </c>
      <c r="N213" s="10">
        <v>145</v>
      </c>
      <c r="O213" s="10" t="s">
        <v>1949</v>
      </c>
      <c r="P213" s="13">
        <v>46079</v>
      </c>
    </row>
    <row r="214" spans="1:16" x14ac:dyDescent="0.25">
      <c r="A214" s="10" t="s">
        <v>535</v>
      </c>
      <c r="B214" s="10" t="s">
        <v>311</v>
      </c>
      <c r="C214" s="10" t="s">
        <v>29</v>
      </c>
      <c r="D214" s="10" t="s">
        <v>312</v>
      </c>
      <c r="E214" s="10">
        <v>9820914808</v>
      </c>
      <c r="F214" s="12">
        <v>1.3713773148148147</v>
      </c>
      <c r="G214" s="10">
        <v>534.78</v>
      </c>
      <c r="H214" s="10">
        <v>179.27</v>
      </c>
      <c r="I214" s="12">
        <v>84.29965277777778</v>
      </c>
      <c r="J214" s="10">
        <v>34</v>
      </c>
      <c r="K214" s="10">
        <v>13</v>
      </c>
      <c r="L214" s="10" t="s">
        <v>906</v>
      </c>
      <c r="M214" s="10" t="s">
        <v>907</v>
      </c>
      <c r="N214" s="10">
        <v>236</v>
      </c>
      <c r="O214" s="10" t="s">
        <v>1950</v>
      </c>
      <c r="P214" s="13">
        <v>45961</v>
      </c>
    </row>
    <row r="215" spans="1:16" x14ac:dyDescent="0.25">
      <c r="A215" s="10" t="s">
        <v>536</v>
      </c>
      <c r="B215" s="10" t="s">
        <v>311</v>
      </c>
      <c r="C215" s="10" t="s">
        <v>29</v>
      </c>
      <c r="D215" s="10" t="s">
        <v>312</v>
      </c>
      <c r="E215" s="10">
        <v>9820914808</v>
      </c>
      <c r="F215" s="12">
        <v>1.1677083333333333</v>
      </c>
      <c r="G215" s="10">
        <v>241.5</v>
      </c>
      <c r="H215" s="10">
        <v>73.91</v>
      </c>
      <c r="I215" s="12">
        <v>84.29965277777778</v>
      </c>
      <c r="J215" s="10">
        <v>29</v>
      </c>
      <c r="K215" s="10">
        <v>1</v>
      </c>
      <c r="L215" s="10" t="s">
        <v>964</v>
      </c>
      <c r="M215" s="10" t="s">
        <v>965</v>
      </c>
      <c r="N215" s="10">
        <v>176</v>
      </c>
      <c r="O215" s="10" t="s">
        <v>1950</v>
      </c>
      <c r="P215" s="13">
        <v>46000</v>
      </c>
    </row>
    <row r="216" spans="1:16" x14ac:dyDescent="0.25">
      <c r="A216" s="10" t="s">
        <v>537</v>
      </c>
      <c r="B216" s="10" t="s">
        <v>311</v>
      </c>
      <c r="C216" s="10" t="s">
        <v>29</v>
      </c>
      <c r="D216" s="10" t="s">
        <v>312</v>
      </c>
      <c r="E216" s="10">
        <v>9820914808</v>
      </c>
      <c r="F216" s="12">
        <v>2.9322222222222223</v>
      </c>
      <c r="G216" s="10">
        <v>1342.4</v>
      </c>
      <c r="H216" s="10">
        <v>373.64</v>
      </c>
      <c r="I216" s="12">
        <v>84.29965277777778</v>
      </c>
      <c r="J216" s="10">
        <v>41</v>
      </c>
      <c r="K216" s="10">
        <v>24</v>
      </c>
      <c r="L216" s="10" t="s">
        <v>849</v>
      </c>
      <c r="M216" s="10" t="s">
        <v>850</v>
      </c>
      <c r="N216" s="10">
        <v>219</v>
      </c>
      <c r="O216" s="10" t="s">
        <v>1949</v>
      </c>
      <c r="P216" s="13">
        <v>46080</v>
      </c>
    </row>
    <row r="217" spans="1:16" x14ac:dyDescent="0.25">
      <c r="A217" s="10" t="s">
        <v>538</v>
      </c>
      <c r="B217" s="10" t="s">
        <v>311</v>
      </c>
      <c r="C217" s="10" t="s">
        <v>29</v>
      </c>
      <c r="D217" s="10" t="s">
        <v>312</v>
      </c>
      <c r="E217" s="10">
        <v>9820914808</v>
      </c>
      <c r="F217" s="12">
        <v>1.1715972222222222</v>
      </c>
      <c r="G217" s="10">
        <v>247.1</v>
      </c>
      <c r="H217" s="10">
        <v>174.7</v>
      </c>
      <c r="I217" s="12">
        <v>84.29965277777778</v>
      </c>
      <c r="J217" s="10">
        <v>22</v>
      </c>
      <c r="K217" s="10">
        <v>8</v>
      </c>
      <c r="L217" s="10" t="s">
        <v>1072</v>
      </c>
      <c r="M217" s="10" t="s">
        <v>1073</v>
      </c>
      <c r="N217" s="10">
        <v>219</v>
      </c>
      <c r="O217" s="10" t="s">
        <v>1949</v>
      </c>
      <c r="P217" s="13">
        <v>46115</v>
      </c>
    </row>
    <row r="218" spans="1:16" x14ac:dyDescent="0.25">
      <c r="A218" s="10" t="s">
        <v>539</v>
      </c>
      <c r="B218" s="10" t="s">
        <v>311</v>
      </c>
      <c r="C218" s="10" t="s">
        <v>29</v>
      </c>
      <c r="D218" s="10" t="s">
        <v>312</v>
      </c>
      <c r="E218" s="10">
        <v>9820914808</v>
      </c>
      <c r="F218" s="11">
        <v>0.34467592592592594</v>
      </c>
      <c r="G218" s="10">
        <v>496.33</v>
      </c>
      <c r="H218" s="10">
        <v>34.04</v>
      </c>
      <c r="I218" s="12">
        <v>84.29965277777778</v>
      </c>
      <c r="J218" s="10">
        <v>10</v>
      </c>
      <c r="K218" s="10">
        <v>1</v>
      </c>
      <c r="L218" s="10" t="s">
        <v>1353</v>
      </c>
      <c r="M218" s="10" t="s">
        <v>1354</v>
      </c>
      <c r="N218" s="10">
        <v>246</v>
      </c>
      <c r="O218" s="10" t="s">
        <v>1950</v>
      </c>
      <c r="P218" s="13">
        <v>45922</v>
      </c>
    </row>
    <row r="219" spans="1:16" x14ac:dyDescent="0.25">
      <c r="A219" s="10" t="s">
        <v>540</v>
      </c>
      <c r="B219" s="10" t="s">
        <v>311</v>
      </c>
      <c r="C219" s="10" t="s">
        <v>29</v>
      </c>
      <c r="D219" s="10" t="s">
        <v>312</v>
      </c>
      <c r="E219" s="10">
        <v>9820914808</v>
      </c>
      <c r="F219" s="11">
        <v>0.41437499999999999</v>
      </c>
      <c r="G219" s="10">
        <v>596.70000000000005</v>
      </c>
      <c r="H219" s="10">
        <v>31.35</v>
      </c>
      <c r="I219" s="12">
        <v>84.29965277777778</v>
      </c>
      <c r="J219" s="10">
        <v>5</v>
      </c>
      <c r="K219" s="10">
        <v>0</v>
      </c>
      <c r="L219" s="10" t="s">
        <v>1559</v>
      </c>
      <c r="M219" s="10" t="s">
        <v>1560</v>
      </c>
      <c r="N219" s="10">
        <v>185</v>
      </c>
      <c r="O219" s="10" t="s">
        <v>1950</v>
      </c>
      <c r="P219" s="13">
        <v>46018</v>
      </c>
    </row>
    <row r="220" spans="1:16" x14ac:dyDescent="0.25">
      <c r="A220" s="10" t="s">
        <v>541</v>
      </c>
      <c r="B220" s="10" t="s">
        <v>311</v>
      </c>
      <c r="C220" s="10" t="s">
        <v>29</v>
      </c>
      <c r="D220" s="10" t="s">
        <v>312</v>
      </c>
      <c r="E220" s="10">
        <v>9820914808</v>
      </c>
      <c r="F220" s="11">
        <v>4.9594907407407407E-2</v>
      </c>
      <c r="G220" s="10">
        <v>71.42</v>
      </c>
      <c r="H220" s="10">
        <v>1.87</v>
      </c>
      <c r="I220" s="12">
        <v>84.29965277777778</v>
      </c>
      <c r="J220" s="10">
        <v>6</v>
      </c>
      <c r="K220" s="10">
        <v>0</v>
      </c>
      <c r="L220" s="10" t="s">
        <v>1503</v>
      </c>
      <c r="M220" s="10" t="s">
        <v>1504</v>
      </c>
      <c r="N220" s="10">
        <v>244</v>
      </c>
      <c r="O220" s="10" t="s">
        <v>1950</v>
      </c>
      <c r="P220" s="13">
        <v>45824</v>
      </c>
    </row>
    <row r="221" spans="1:16" x14ac:dyDescent="0.25">
      <c r="A221" s="10" t="s">
        <v>542</v>
      </c>
      <c r="B221" s="10" t="s">
        <v>311</v>
      </c>
      <c r="C221" s="10" t="s">
        <v>29</v>
      </c>
      <c r="D221" s="10" t="s">
        <v>312</v>
      </c>
      <c r="E221" s="10">
        <v>9820914808</v>
      </c>
      <c r="F221" s="11">
        <v>0.31274305555555554</v>
      </c>
      <c r="G221" s="10">
        <v>450.35</v>
      </c>
      <c r="H221" s="10">
        <v>15.68</v>
      </c>
      <c r="I221" s="12">
        <v>84.29965277777778</v>
      </c>
      <c r="J221" s="10">
        <v>7</v>
      </c>
      <c r="K221" s="10">
        <v>4</v>
      </c>
      <c r="L221" s="10" t="s">
        <v>1460</v>
      </c>
      <c r="M221" s="10" t="s">
        <v>1461</v>
      </c>
      <c r="N221" s="10">
        <v>323</v>
      </c>
      <c r="O221" s="10" t="s">
        <v>1950</v>
      </c>
      <c r="P221" s="13">
        <v>45725</v>
      </c>
    </row>
    <row r="222" spans="1:16" x14ac:dyDescent="0.25">
      <c r="A222" s="10" t="s">
        <v>543</v>
      </c>
      <c r="B222" s="10" t="s">
        <v>311</v>
      </c>
      <c r="C222" s="10" t="s">
        <v>29</v>
      </c>
      <c r="D222" s="10" t="s">
        <v>312</v>
      </c>
      <c r="E222" s="10">
        <v>9820914808</v>
      </c>
      <c r="F222" s="12">
        <v>4.1763194444444443</v>
      </c>
      <c r="G222" s="10">
        <v>253.9</v>
      </c>
      <c r="H222" s="10">
        <v>20110296939.32</v>
      </c>
      <c r="I222" s="12">
        <v>84.29965277777778</v>
      </c>
      <c r="J222" s="10">
        <v>14</v>
      </c>
      <c r="K222" s="10">
        <v>3</v>
      </c>
      <c r="L222" s="10" t="s">
        <v>1238</v>
      </c>
      <c r="M222" s="10" t="s">
        <v>1239</v>
      </c>
      <c r="N222" s="10">
        <v>245</v>
      </c>
      <c r="O222" s="10" t="s">
        <v>1950</v>
      </c>
      <c r="P222" s="13">
        <v>46155</v>
      </c>
    </row>
    <row r="223" spans="1:16" x14ac:dyDescent="0.25">
      <c r="A223" s="10" t="s">
        <v>544</v>
      </c>
      <c r="B223" s="10" t="s">
        <v>311</v>
      </c>
      <c r="C223" s="10" t="s">
        <v>29</v>
      </c>
      <c r="D223" s="10" t="s">
        <v>312</v>
      </c>
      <c r="E223" s="10">
        <v>9820914808</v>
      </c>
      <c r="F223" s="12">
        <v>1.6164236111111112</v>
      </c>
      <c r="G223" s="10">
        <v>887.65</v>
      </c>
      <c r="H223" s="10">
        <v>111.39</v>
      </c>
      <c r="I223" s="12">
        <v>84.29965277777778</v>
      </c>
      <c r="J223" s="10">
        <v>15</v>
      </c>
      <c r="K223" s="10">
        <v>10</v>
      </c>
      <c r="L223" s="10" t="s">
        <v>1212</v>
      </c>
      <c r="M223" s="10" t="s">
        <v>1213</v>
      </c>
      <c r="N223" s="10">
        <v>181</v>
      </c>
      <c r="O223" s="10" t="s">
        <v>1949</v>
      </c>
      <c r="P223" s="13">
        <v>46103</v>
      </c>
    </row>
    <row r="224" spans="1:16" x14ac:dyDescent="0.25">
      <c r="A224" s="10" t="s">
        <v>545</v>
      </c>
      <c r="B224" s="10" t="s">
        <v>311</v>
      </c>
      <c r="C224" s="10" t="s">
        <v>29</v>
      </c>
      <c r="D224" s="10" t="s">
        <v>312</v>
      </c>
      <c r="E224" s="10">
        <v>9820914808</v>
      </c>
      <c r="F224" s="12">
        <v>2.2158680555555557</v>
      </c>
      <c r="G224" s="10">
        <v>310.85000000000002</v>
      </c>
      <c r="H224" s="10">
        <v>520.94000000000005</v>
      </c>
      <c r="I224" s="12">
        <v>84.29965277777778</v>
      </c>
      <c r="J224" s="10">
        <v>26</v>
      </c>
      <c r="K224" s="10">
        <v>10</v>
      </c>
      <c r="L224" s="10" t="s">
        <v>998</v>
      </c>
      <c r="M224" s="10" t="s">
        <v>999</v>
      </c>
      <c r="N224" s="10">
        <v>156</v>
      </c>
      <c r="O224" s="10" t="s">
        <v>1950</v>
      </c>
      <c r="P224" s="13">
        <v>46066</v>
      </c>
    </row>
    <row r="225" spans="1:16" x14ac:dyDescent="0.25">
      <c r="A225" s="10" t="s">
        <v>546</v>
      </c>
      <c r="B225" s="10" t="s">
        <v>311</v>
      </c>
      <c r="C225" s="10" t="s">
        <v>29</v>
      </c>
      <c r="D225" s="10" t="s">
        <v>312</v>
      </c>
      <c r="E225" s="10">
        <v>9820914808</v>
      </c>
      <c r="F225" s="12">
        <v>1.6387152777777778</v>
      </c>
      <c r="G225" s="10">
        <v>919.75</v>
      </c>
      <c r="H225" s="10">
        <v>302.44</v>
      </c>
      <c r="I225" s="12">
        <v>84.29965277777778</v>
      </c>
      <c r="J225" s="10">
        <v>14</v>
      </c>
      <c r="K225" s="10">
        <v>7</v>
      </c>
      <c r="L225" s="10" t="s">
        <v>1236</v>
      </c>
      <c r="M225" s="10" t="s">
        <v>1237</v>
      </c>
      <c r="N225" s="10">
        <v>232</v>
      </c>
      <c r="O225" s="10" t="s">
        <v>1949</v>
      </c>
      <c r="P225" s="13">
        <v>45716</v>
      </c>
    </row>
    <row r="226" spans="1:16" x14ac:dyDescent="0.25">
      <c r="A226" s="10" t="s">
        <v>547</v>
      </c>
      <c r="B226" s="10" t="s">
        <v>311</v>
      </c>
      <c r="C226" s="10" t="s">
        <v>29</v>
      </c>
      <c r="D226" s="10" t="s">
        <v>312</v>
      </c>
      <c r="E226" s="10">
        <v>9820914808</v>
      </c>
      <c r="F226" s="11">
        <v>0.85494212962962968</v>
      </c>
      <c r="G226" s="10">
        <v>1231.1199999999999</v>
      </c>
      <c r="H226" s="10">
        <v>116.66</v>
      </c>
      <c r="I226" s="12">
        <v>84.29965277777778</v>
      </c>
      <c r="J226" s="10">
        <v>13</v>
      </c>
      <c r="K226" s="10">
        <v>0</v>
      </c>
      <c r="L226" s="10" t="s">
        <v>1267</v>
      </c>
      <c r="M226" s="10" t="s">
        <v>1268</v>
      </c>
      <c r="N226" s="10">
        <v>245</v>
      </c>
      <c r="O226" s="10" t="s">
        <v>1950</v>
      </c>
      <c r="P226" s="13">
        <v>45925</v>
      </c>
    </row>
    <row r="227" spans="1:16" x14ac:dyDescent="0.25">
      <c r="A227" s="10" t="s">
        <v>548</v>
      </c>
      <c r="B227" s="10" t="s">
        <v>311</v>
      </c>
      <c r="C227" s="10" t="s">
        <v>29</v>
      </c>
      <c r="D227" s="10" t="s">
        <v>312</v>
      </c>
      <c r="E227" s="10">
        <v>9820914808</v>
      </c>
      <c r="F227" s="12">
        <v>4.5833912037037035</v>
      </c>
      <c r="G227" s="10">
        <v>840.08</v>
      </c>
      <c r="H227" s="10">
        <v>794.73</v>
      </c>
      <c r="I227" s="12">
        <v>84.29965277777778</v>
      </c>
      <c r="J227" s="10">
        <v>28</v>
      </c>
      <c r="K227" s="10">
        <v>9</v>
      </c>
      <c r="L227" s="10" t="s">
        <v>980</v>
      </c>
      <c r="M227" s="10" t="s">
        <v>981</v>
      </c>
      <c r="N227" s="10">
        <v>182</v>
      </c>
      <c r="O227" s="10" t="s">
        <v>1949</v>
      </c>
      <c r="P227" s="13">
        <v>46072</v>
      </c>
    </row>
    <row r="228" spans="1:16" x14ac:dyDescent="0.25">
      <c r="A228" s="10" t="s">
        <v>549</v>
      </c>
      <c r="B228" s="10" t="s">
        <v>311</v>
      </c>
      <c r="C228" s="10" t="s">
        <v>29</v>
      </c>
      <c r="D228" s="10" t="s">
        <v>312</v>
      </c>
      <c r="E228" s="10">
        <v>9820914808</v>
      </c>
      <c r="F228" s="11">
        <v>0.41221064814814817</v>
      </c>
      <c r="G228" s="10">
        <v>593.58000000000004</v>
      </c>
      <c r="H228" s="10">
        <v>25.29</v>
      </c>
      <c r="I228" s="12">
        <v>84.29965277777778</v>
      </c>
      <c r="J228" s="10">
        <v>6</v>
      </c>
      <c r="K228" s="10">
        <v>0</v>
      </c>
      <c r="L228" s="10" t="s">
        <v>1501</v>
      </c>
      <c r="M228" s="10" t="s">
        <v>1502</v>
      </c>
      <c r="N228" s="10">
        <v>241</v>
      </c>
      <c r="O228" s="10" t="s">
        <v>1950</v>
      </c>
      <c r="P228" s="13">
        <v>45875</v>
      </c>
    </row>
    <row r="229" spans="1:16" x14ac:dyDescent="0.25">
      <c r="A229" s="10" t="s">
        <v>550</v>
      </c>
      <c r="B229" s="10" t="s">
        <v>311</v>
      </c>
      <c r="C229" s="10" t="s">
        <v>125</v>
      </c>
      <c r="D229" s="10" t="s">
        <v>551</v>
      </c>
      <c r="E229" s="10">
        <v>9428102150</v>
      </c>
      <c r="F229" s="12">
        <v>1.228587962962963</v>
      </c>
      <c r="G229" s="10">
        <v>329.17</v>
      </c>
      <c r="H229" s="10">
        <v>202.07</v>
      </c>
      <c r="I229" s="12">
        <v>84.380798611111118</v>
      </c>
      <c r="J229" s="10">
        <v>16</v>
      </c>
      <c r="K229" s="10">
        <v>7</v>
      </c>
      <c r="L229" s="10" t="s">
        <v>1186</v>
      </c>
      <c r="M229" s="10" t="s">
        <v>1187</v>
      </c>
      <c r="N229" s="10">
        <v>-409</v>
      </c>
      <c r="O229" s="10" t="s">
        <v>1950</v>
      </c>
      <c r="P229" s="13">
        <v>46000</v>
      </c>
    </row>
    <row r="230" spans="1:16" x14ac:dyDescent="0.25">
      <c r="A230" s="10" t="s">
        <v>552</v>
      </c>
      <c r="B230" s="10" t="s">
        <v>311</v>
      </c>
      <c r="C230" s="10" t="s">
        <v>29</v>
      </c>
      <c r="D230" s="10" t="s">
        <v>312</v>
      </c>
      <c r="E230" s="10">
        <v>9820914808</v>
      </c>
      <c r="F230" s="11">
        <v>0.28215277777777775</v>
      </c>
      <c r="G230" s="10">
        <v>406.3</v>
      </c>
      <c r="H230" s="10">
        <v>30.96</v>
      </c>
      <c r="I230" s="12">
        <v>84.29965277777778</v>
      </c>
      <c r="J230" s="10">
        <v>7</v>
      </c>
      <c r="K230" s="10">
        <v>0</v>
      </c>
      <c r="L230" s="10" t="s">
        <v>1456</v>
      </c>
      <c r="M230" s="10" t="s">
        <v>1457</v>
      </c>
      <c r="N230" s="10">
        <v>249</v>
      </c>
      <c r="O230" s="10" t="s">
        <v>1950</v>
      </c>
      <c r="P230" s="13">
        <v>45955</v>
      </c>
    </row>
    <row r="231" spans="1:16" x14ac:dyDescent="0.25">
      <c r="A231" s="10" t="s">
        <v>553</v>
      </c>
      <c r="B231" s="10" t="s">
        <v>311</v>
      </c>
      <c r="C231" s="10" t="s">
        <v>29</v>
      </c>
      <c r="D231" s="10" t="s">
        <v>312</v>
      </c>
      <c r="E231" s="10">
        <v>9820914808</v>
      </c>
      <c r="F231" s="11">
        <v>0.50487268518518513</v>
      </c>
      <c r="G231" s="10">
        <v>727.02</v>
      </c>
      <c r="H231" s="10">
        <v>46.16</v>
      </c>
      <c r="I231" s="12">
        <v>84.29965277777778</v>
      </c>
      <c r="J231" s="10">
        <v>9</v>
      </c>
      <c r="K231" s="10">
        <v>1</v>
      </c>
      <c r="L231" s="10" t="s">
        <v>1389</v>
      </c>
      <c r="M231" s="10" t="s">
        <v>1390</v>
      </c>
      <c r="N231" s="10">
        <v>224</v>
      </c>
      <c r="O231" s="10" t="s">
        <v>1950</v>
      </c>
      <c r="P231" s="13">
        <v>46007</v>
      </c>
    </row>
    <row r="232" spans="1:16" x14ac:dyDescent="0.25">
      <c r="A232" s="10" t="s">
        <v>554</v>
      </c>
      <c r="B232" s="10" t="s">
        <v>311</v>
      </c>
      <c r="C232" s="10" t="s">
        <v>29</v>
      </c>
      <c r="D232" s="10" t="s">
        <v>312</v>
      </c>
      <c r="E232" s="10">
        <v>9820914808</v>
      </c>
      <c r="F232" s="11">
        <v>7.1736111111111112E-2</v>
      </c>
      <c r="G232" s="10">
        <v>103.3</v>
      </c>
      <c r="H232" s="10">
        <v>0</v>
      </c>
      <c r="I232" s="12">
        <v>84.29965277777778</v>
      </c>
      <c r="J232" s="10">
        <v>12</v>
      </c>
      <c r="K232" s="10">
        <v>8</v>
      </c>
      <c r="L232" s="10" t="s">
        <v>1289</v>
      </c>
      <c r="M232" s="10" t="s">
        <v>1290</v>
      </c>
      <c r="N232" s="10">
        <v>247</v>
      </c>
      <c r="O232" s="10" t="s">
        <v>1950</v>
      </c>
      <c r="P232" s="13">
        <v>45569</v>
      </c>
    </row>
    <row r="233" spans="1:16" x14ac:dyDescent="0.25">
      <c r="A233" s="10" t="s">
        <v>555</v>
      </c>
      <c r="B233" s="10" t="s">
        <v>311</v>
      </c>
      <c r="C233" s="10" t="s">
        <v>29</v>
      </c>
      <c r="D233" s="10" t="s">
        <v>312</v>
      </c>
      <c r="E233" s="10">
        <v>9820914808</v>
      </c>
      <c r="F233" s="12">
        <v>2.8396296296296297</v>
      </c>
      <c r="G233" s="10">
        <v>1209.07</v>
      </c>
      <c r="H233" s="10">
        <v>564.78</v>
      </c>
      <c r="I233" s="12">
        <v>84.29965277777778</v>
      </c>
      <c r="J233" s="10">
        <v>47</v>
      </c>
      <c r="K233" s="10">
        <v>21</v>
      </c>
      <c r="L233" s="10" t="s">
        <v>827</v>
      </c>
      <c r="M233" s="10" t="s">
        <v>828</v>
      </c>
      <c r="N233" s="10">
        <v>179</v>
      </c>
      <c r="O233" s="10" t="s">
        <v>1949</v>
      </c>
      <c r="P233" s="13">
        <v>45723</v>
      </c>
    </row>
    <row r="234" spans="1:16" x14ac:dyDescent="0.25">
      <c r="A234" s="10" t="s">
        <v>556</v>
      </c>
      <c r="B234" s="10" t="s">
        <v>311</v>
      </c>
      <c r="C234" s="10" t="s">
        <v>29</v>
      </c>
      <c r="D234" s="10" t="s">
        <v>312</v>
      </c>
      <c r="E234" s="10">
        <v>9820914808</v>
      </c>
      <c r="F234" s="11">
        <v>0.93598379629629624</v>
      </c>
      <c r="G234" s="10">
        <v>1347.82</v>
      </c>
      <c r="H234" s="10">
        <v>105.4</v>
      </c>
      <c r="I234" s="12">
        <v>84.29965277777778</v>
      </c>
      <c r="J234" s="10">
        <v>31</v>
      </c>
      <c r="K234" s="10">
        <v>22</v>
      </c>
      <c r="L234" s="10" t="s">
        <v>936</v>
      </c>
      <c r="M234" s="10" t="s">
        <v>937</v>
      </c>
      <c r="N234" s="10">
        <v>218</v>
      </c>
      <c r="O234" s="10" t="s">
        <v>1949</v>
      </c>
      <c r="P234" s="13">
        <v>46151</v>
      </c>
    </row>
    <row r="235" spans="1:16" x14ac:dyDescent="0.25">
      <c r="A235" s="10" t="s">
        <v>557</v>
      </c>
      <c r="B235" s="10" t="s">
        <v>311</v>
      </c>
      <c r="C235" s="10" t="s">
        <v>29</v>
      </c>
      <c r="D235" s="10" t="s">
        <v>312</v>
      </c>
      <c r="E235" s="10">
        <v>9820914808</v>
      </c>
      <c r="F235" s="12">
        <v>3.6210185185185186</v>
      </c>
      <c r="G235" s="10">
        <v>894.27</v>
      </c>
      <c r="H235" s="10">
        <v>1192.22</v>
      </c>
      <c r="I235" s="12">
        <v>84.29965277777778</v>
      </c>
      <c r="J235" s="10">
        <v>31</v>
      </c>
      <c r="K235" s="10">
        <v>16</v>
      </c>
      <c r="L235" s="10" t="s">
        <v>934</v>
      </c>
      <c r="M235" s="10" t="s">
        <v>935</v>
      </c>
      <c r="N235" s="10">
        <v>191</v>
      </c>
      <c r="O235" s="10" t="s">
        <v>1949</v>
      </c>
      <c r="P235" s="13">
        <v>46057</v>
      </c>
    </row>
    <row r="236" spans="1:16" x14ac:dyDescent="0.25">
      <c r="A236" s="10" t="s">
        <v>558</v>
      </c>
      <c r="B236" s="10" t="s">
        <v>311</v>
      </c>
      <c r="C236" s="10" t="s">
        <v>29</v>
      </c>
      <c r="D236" s="10" t="s">
        <v>312</v>
      </c>
      <c r="E236" s="10">
        <v>9820914808</v>
      </c>
      <c r="F236" s="11">
        <v>0.49160879629629628</v>
      </c>
      <c r="G236" s="10">
        <v>707.92</v>
      </c>
      <c r="H236" s="10">
        <v>70.290000000000006</v>
      </c>
      <c r="I236" s="12">
        <v>84.29965277777778</v>
      </c>
      <c r="J236" s="10">
        <v>15</v>
      </c>
      <c r="K236" s="10">
        <v>0</v>
      </c>
      <c r="L236" s="10" t="s">
        <v>1206</v>
      </c>
      <c r="M236" s="10" t="s">
        <v>1207</v>
      </c>
      <c r="N236" s="10">
        <v>178</v>
      </c>
      <c r="O236" s="10" t="s">
        <v>1950</v>
      </c>
      <c r="P236" s="13">
        <v>45909</v>
      </c>
    </row>
    <row r="237" spans="1:16" x14ac:dyDescent="0.25">
      <c r="A237" s="10" t="s">
        <v>559</v>
      </c>
      <c r="B237" s="10" t="s">
        <v>311</v>
      </c>
      <c r="C237" s="10" t="s">
        <v>29</v>
      </c>
      <c r="D237" s="10" t="s">
        <v>312</v>
      </c>
      <c r="E237" s="10">
        <v>9820914808</v>
      </c>
      <c r="F237" s="12">
        <v>1.6736226851851852</v>
      </c>
      <c r="G237" s="10">
        <v>970.02</v>
      </c>
      <c r="H237" s="10">
        <v>1555.4</v>
      </c>
      <c r="I237" s="12">
        <v>84.29965277777778</v>
      </c>
      <c r="J237" s="10">
        <v>16</v>
      </c>
      <c r="K237" s="10">
        <v>7</v>
      </c>
      <c r="L237" s="10" t="s">
        <v>1184</v>
      </c>
      <c r="M237" s="10" t="s">
        <v>1185</v>
      </c>
      <c r="N237" s="10">
        <v>213</v>
      </c>
      <c r="O237" s="10" t="s">
        <v>1949</v>
      </c>
      <c r="P237" s="13">
        <v>45905</v>
      </c>
    </row>
    <row r="238" spans="1:16" x14ac:dyDescent="0.25">
      <c r="A238" s="10" t="s">
        <v>560</v>
      </c>
      <c r="B238" s="10" t="s">
        <v>311</v>
      </c>
      <c r="C238" s="10" t="s">
        <v>29</v>
      </c>
      <c r="D238" s="10" t="s">
        <v>312</v>
      </c>
      <c r="E238" s="10">
        <v>9820914808</v>
      </c>
      <c r="F238" s="12">
        <v>2.7769791666666666</v>
      </c>
      <c r="G238" s="10">
        <v>1118.8499999999999</v>
      </c>
      <c r="H238" s="10">
        <v>414</v>
      </c>
      <c r="I238" s="12">
        <v>84.29965277777778</v>
      </c>
      <c r="J238" s="10">
        <v>18</v>
      </c>
      <c r="K238" s="10">
        <v>8</v>
      </c>
      <c r="L238" s="10" t="s">
        <v>1146</v>
      </c>
      <c r="M238" s="10" t="s">
        <v>1147</v>
      </c>
      <c r="N238" s="10">
        <v>231</v>
      </c>
      <c r="O238" s="10" t="s">
        <v>1950</v>
      </c>
      <c r="P238" s="13">
        <v>45923</v>
      </c>
    </row>
    <row r="239" spans="1:16" x14ac:dyDescent="0.25">
      <c r="A239" s="10" t="s">
        <v>561</v>
      </c>
      <c r="B239" s="10" t="s">
        <v>311</v>
      </c>
      <c r="C239" s="10" t="s">
        <v>46</v>
      </c>
      <c r="D239" s="10" t="s">
        <v>436</v>
      </c>
      <c r="E239" s="10">
        <v>9824004651</v>
      </c>
      <c r="F239" s="10" t="s">
        <v>309</v>
      </c>
      <c r="G239" s="10"/>
      <c r="H239" s="10">
        <v>0</v>
      </c>
      <c r="I239" s="12">
        <v>84.337824074074078</v>
      </c>
      <c r="J239" s="10"/>
      <c r="K239" s="10"/>
      <c r="L239" s="10"/>
      <c r="M239" s="10"/>
      <c r="N239" s="10"/>
      <c r="O239" s="10" t="s">
        <v>1950</v>
      </c>
      <c r="P239" s="10"/>
    </row>
    <row r="240" spans="1:16" x14ac:dyDescent="0.25">
      <c r="A240" s="10" t="s">
        <v>562</v>
      </c>
      <c r="B240" s="10" t="s">
        <v>311</v>
      </c>
      <c r="C240" s="10" t="s">
        <v>46</v>
      </c>
      <c r="D240" s="10" t="s">
        <v>436</v>
      </c>
      <c r="E240" s="10">
        <v>9824004651</v>
      </c>
      <c r="F240" s="10" t="s">
        <v>309</v>
      </c>
      <c r="G240" s="10"/>
      <c r="H240" s="10">
        <v>0</v>
      </c>
      <c r="I240" s="12">
        <v>84.337824074074078</v>
      </c>
      <c r="J240" s="10">
        <v>1</v>
      </c>
      <c r="K240" s="10">
        <v>0</v>
      </c>
      <c r="L240" s="10" t="s">
        <v>1900</v>
      </c>
      <c r="M240" s="10" t="s">
        <v>1900</v>
      </c>
      <c r="N240" s="10">
        <v>19</v>
      </c>
      <c r="O240" s="10" t="s">
        <v>1950</v>
      </c>
      <c r="P240" s="10"/>
    </row>
    <row r="241" spans="1:16" x14ac:dyDescent="0.25">
      <c r="A241" s="10" t="s">
        <v>563</v>
      </c>
      <c r="B241" s="10" t="s">
        <v>311</v>
      </c>
      <c r="C241" s="10" t="s">
        <v>29</v>
      </c>
      <c r="D241" s="10" t="s">
        <v>312</v>
      </c>
      <c r="E241" s="10">
        <v>9820914808</v>
      </c>
      <c r="F241" s="12">
        <v>4.2897337962962965</v>
      </c>
      <c r="G241" s="10">
        <v>417.22</v>
      </c>
      <c r="H241" s="10">
        <v>1166.2</v>
      </c>
      <c r="I241" s="12">
        <v>84.29965277777778</v>
      </c>
      <c r="J241" s="10">
        <v>29</v>
      </c>
      <c r="K241" s="10">
        <v>2</v>
      </c>
      <c r="L241" s="10" t="s">
        <v>966</v>
      </c>
      <c r="M241" s="10" t="s">
        <v>967</v>
      </c>
      <c r="N241" s="10">
        <v>239</v>
      </c>
      <c r="O241" s="10" t="s">
        <v>1950</v>
      </c>
      <c r="P241" s="13">
        <v>46075</v>
      </c>
    </row>
    <row r="242" spans="1:16" x14ac:dyDescent="0.25">
      <c r="A242" s="10" t="s">
        <v>564</v>
      </c>
      <c r="B242" s="10" t="s">
        <v>311</v>
      </c>
      <c r="C242" s="10" t="s">
        <v>29</v>
      </c>
      <c r="D242" s="10" t="s">
        <v>312</v>
      </c>
      <c r="E242" s="10">
        <v>9820914808</v>
      </c>
      <c r="F242" s="11">
        <v>0.20445601851851852</v>
      </c>
      <c r="G242" s="10">
        <v>294.42</v>
      </c>
      <c r="H242" s="10">
        <v>23.17</v>
      </c>
      <c r="I242" s="12">
        <v>84.29965277777778</v>
      </c>
      <c r="J242" s="10">
        <v>3</v>
      </c>
      <c r="K242" s="10">
        <v>0</v>
      </c>
      <c r="L242" s="10" t="s">
        <v>1707</v>
      </c>
      <c r="M242" s="10" t="s">
        <v>1708</v>
      </c>
      <c r="N242" s="10">
        <v>175</v>
      </c>
      <c r="O242" s="10" t="s">
        <v>1950</v>
      </c>
      <c r="P242" s="13">
        <v>45809</v>
      </c>
    </row>
    <row r="243" spans="1:16" x14ac:dyDescent="0.25">
      <c r="A243" s="10" t="s">
        <v>565</v>
      </c>
      <c r="B243" s="10" t="s">
        <v>311</v>
      </c>
      <c r="C243" s="10" t="s">
        <v>46</v>
      </c>
      <c r="D243" s="10" t="s">
        <v>436</v>
      </c>
      <c r="E243" s="10">
        <v>9824004651</v>
      </c>
      <c r="F243" s="10" t="s">
        <v>309</v>
      </c>
      <c r="G243" s="10"/>
      <c r="H243" s="10">
        <v>0</v>
      </c>
      <c r="I243" s="12">
        <v>84.337824074074078</v>
      </c>
      <c r="J243" s="10"/>
      <c r="K243" s="10"/>
      <c r="L243" s="10"/>
      <c r="M243" s="10"/>
      <c r="N243" s="10"/>
      <c r="O243" s="10" t="s">
        <v>1950</v>
      </c>
      <c r="P243" s="10"/>
    </row>
    <row r="244" spans="1:16" x14ac:dyDescent="0.25">
      <c r="A244" s="10" t="s">
        <v>566</v>
      </c>
      <c r="B244" s="10" t="s">
        <v>311</v>
      </c>
      <c r="C244" s="10" t="s">
        <v>29</v>
      </c>
      <c r="D244" s="10" t="s">
        <v>312</v>
      </c>
      <c r="E244" s="10">
        <v>9820914808</v>
      </c>
      <c r="F244" s="12">
        <v>1.0171180555555555</v>
      </c>
      <c r="G244" s="10">
        <v>24.65</v>
      </c>
      <c r="H244" s="10">
        <v>174.81</v>
      </c>
      <c r="I244" s="12">
        <v>84.29965277777778</v>
      </c>
      <c r="J244" s="10">
        <v>15</v>
      </c>
      <c r="K244" s="10">
        <v>4</v>
      </c>
      <c r="L244" s="10" t="s">
        <v>1222</v>
      </c>
      <c r="M244" s="10" t="s">
        <v>1223</v>
      </c>
      <c r="N244" s="10">
        <v>271</v>
      </c>
      <c r="O244" s="10" t="s">
        <v>1950</v>
      </c>
      <c r="P244" s="13">
        <v>45958</v>
      </c>
    </row>
    <row r="245" spans="1:16" x14ac:dyDescent="0.25">
      <c r="A245" s="10" t="s">
        <v>567</v>
      </c>
      <c r="B245" s="10" t="s">
        <v>311</v>
      </c>
      <c r="C245" s="10" t="s">
        <v>29</v>
      </c>
      <c r="D245" s="10" t="s">
        <v>312</v>
      </c>
      <c r="E245" s="10">
        <v>9820914808</v>
      </c>
      <c r="F245" s="12">
        <v>4.598391203703704</v>
      </c>
      <c r="G245" s="10">
        <v>861.68</v>
      </c>
      <c r="H245" s="10">
        <v>943.72</v>
      </c>
      <c r="I245" s="12">
        <v>84.29965277777778</v>
      </c>
      <c r="J245" s="10">
        <v>28</v>
      </c>
      <c r="K245" s="10">
        <v>5</v>
      </c>
      <c r="L245" s="10" t="s">
        <v>982</v>
      </c>
      <c r="M245" s="10" t="s">
        <v>983</v>
      </c>
      <c r="N245" s="10">
        <v>228</v>
      </c>
      <c r="O245" s="10" t="s">
        <v>1949</v>
      </c>
      <c r="P245" s="13">
        <v>45933</v>
      </c>
    </row>
    <row r="246" spans="1:16" x14ac:dyDescent="0.25">
      <c r="A246" s="10" t="s">
        <v>568</v>
      </c>
      <c r="B246" s="10" t="s">
        <v>311</v>
      </c>
      <c r="C246" s="10" t="s">
        <v>29</v>
      </c>
      <c r="D246" s="10" t="s">
        <v>312</v>
      </c>
      <c r="E246" s="10">
        <v>9820914808</v>
      </c>
      <c r="F246" s="12">
        <v>3.2851041666666667</v>
      </c>
      <c r="G246" s="10">
        <v>410.55</v>
      </c>
      <c r="H246" s="10">
        <v>493.54</v>
      </c>
      <c r="I246" s="12">
        <v>84.29965277777778</v>
      </c>
      <c r="J246" s="10">
        <v>25</v>
      </c>
      <c r="K246" s="10">
        <v>3</v>
      </c>
      <c r="L246" s="10" t="s">
        <v>1024</v>
      </c>
      <c r="M246" s="10" t="s">
        <v>1025</v>
      </c>
      <c r="N246" s="10">
        <v>215</v>
      </c>
      <c r="O246" s="10" t="s">
        <v>1949</v>
      </c>
      <c r="P246" s="13">
        <v>46039</v>
      </c>
    </row>
    <row r="247" spans="1:16" x14ac:dyDescent="0.25">
      <c r="A247" s="10" t="s">
        <v>569</v>
      </c>
      <c r="B247" s="10" t="s">
        <v>311</v>
      </c>
      <c r="C247" s="10" t="s">
        <v>29</v>
      </c>
      <c r="D247" s="10" t="s">
        <v>312</v>
      </c>
      <c r="E247" s="10">
        <v>9820914808</v>
      </c>
      <c r="F247" s="12">
        <v>1.7212962962962963</v>
      </c>
      <c r="G247" s="10">
        <v>1038.67</v>
      </c>
      <c r="H247" s="10">
        <v>3489231739.4699998</v>
      </c>
      <c r="I247" s="12">
        <v>84.29965277777778</v>
      </c>
      <c r="J247" s="10">
        <v>34</v>
      </c>
      <c r="K247" s="10">
        <v>21</v>
      </c>
      <c r="L247" s="10" t="s">
        <v>904</v>
      </c>
      <c r="M247" s="10" t="s">
        <v>905</v>
      </c>
      <c r="N247" s="10">
        <v>208</v>
      </c>
      <c r="O247" s="10" t="s">
        <v>1949</v>
      </c>
      <c r="P247" s="13">
        <v>45871</v>
      </c>
    </row>
    <row r="248" spans="1:16" x14ac:dyDescent="0.25">
      <c r="A248" s="10" t="s">
        <v>570</v>
      </c>
      <c r="B248" s="10" t="s">
        <v>311</v>
      </c>
      <c r="C248" s="10" t="s">
        <v>29</v>
      </c>
      <c r="D248" s="10" t="s">
        <v>312</v>
      </c>
      <c r="E248" s="10">
        <v>9820914808</v>
      </c>
      <c r="F248" s="12">
        <v>10.026782407407408</v>
      </c>
      <c r="G248" s="10">
        <v>38.57</v>
      </c>
      <c r="H248" s="10">
        <v>1833.9</v>
      </c>
      <c r="I248" s="12">
        <v>84.29965277777778</v>
      </c>
      <c r="J248" s="10">
        <v>36</v>
      </c>
      <c r="K248" s="10">
        <v>8</v>
      </c>
      <c r="L248" s="10" t="s">
        <v>886</v>
      </c>
      <c r="M248" s="10" t="s">
        <v>887</v>
      </c>
      <c r="N248" s="10">
        <v>167</v>
      </c>
      <c r="O248" s="10" t="s">
        <v>1949</v>
      </c>
      <c r="P248" s="13">
        <v>46042</v>
      </c>
    </row>
    <row r="249" spans="1:16" x14ac:dyDescent="0.25">
      <c r="A249" s="10" t="s">
        <v>571</v>
      </c>
      <c r="B249" s="10" t="s">
        <v>311</v>
      </c>
      <c r="C249" s="10" t="s">
        <v>29</v>
      </c>
      <c r="D249" s="10" t="s">
        <v>312</v>
      </c>
      <c r="E249" s="10">
        <v>9820914808</v>
      </c>
      <c r="F249" s="11">
        <v>0.16769675925925925</v>
      </c>
      <c r="G249" s="10">
        <v>241.48</v>
      </c>
      <c r="H249" s="10">
        <v>7.48</v>
      </c>
      <c r="I249" s="12">
        <v>84.29965277777778</v>
      </c>
      <c r="J249" s="10">
        <v>1</v>
      </c>
      <c r="K249" s="10">
        <v>0</v>
      </c>
      <c r="L249" s="10" t="s">
        <v>1901</v>
      </c>
      <c r="M249" s="10" t="s">
        <v>1901</v>
      </c>
      <c r="N249" s="10">
        <v>240</v>
      </c>
      <c r="O249" s="10" t="s">
        <v>1950</v>
      </c>
      <c r="P249" s="13">
        <v>45733</v>
      </c>
    </row>
    <row r="250" spans="1:16" x14ac:dyDescent="0.25">
      <c r="A250" s="10" t="s">
        <v>572</v>
      </c>
      <c r="B250" s="10" t="s">
        <v>311</v>
      </c>
      <c r="C250" s="10" t="s">
        <v>29</v>
      </c>
      <c r="D250" s="10" t="s">
        <v>312</v>
      </c>
      <c r="E250" s="10">
        <v>9820914808</v>
      </c>
      <c r="F250" s="11">
        <v>0.59416666666666662</v>
      </c>
      <c r="G250" s="10">
        <v>855.6</v>
      </c>
      <c r="H250" s="10">
        <v>11024.66</v>
      </c>
      <c r="I250" s="12">
        <v>84.29965277777778</v>
      </c>
      <c r="J250" s="10">
        <v>16</v>
      </c>
      <c r="K250" s="10">
        <v>10</v>
      </c>
      <c r="L250" s="10" t="s">
        <v>1178</v>
      </c>
      <c r="M250" s="10" t="s">
        <v>1179</v>
      </c>
      <c r="N250" s="10">
        <v>194</v>
      </c>
      <c r="O250" s="10" t="s">
        <v>1949</v>
      </c>
      <c r="P250" s="13">
        <v>46054</v>
      </c>
    </row>
    <row r="251" spans="1:16" x14ac:dyDescent="0.25">
      <c r="A251" s="10" t="s">
        <v>573</v>
      </c>
      <c r="B251" s="10" t="s">
        <v>311</v>
      </c>
      <c r="C251" s="10" t="s">
        <v>29</v>
      </c>
      <c r="D251" s="10" t="s">
        <v>312</v>
      </c>
      <c r="E251" s="10">
        <v>9820914808</v>
      </c>
      <c r="F251" s="11">
        <v>0.86552083333333329</v>
      </c>
      <c r="G251" s="10">
        <v>1246.3499999999999</v>
      </c>
      <c r="H251" s="10">
        <v>130.78</v>
      </c>
      <c r="I251" s="12">
        <v>84.29965277777778</v>
      </c>
      <c r="J251" s="10">
        <v>17</v>
      </c>
      <c r="K251" s="10">
        <v>8</v>
      </c>
      <c r="L251" s="10" t="s">
        <v>1162</v>
      </c>
      <c r="M251" s="10" t="s">
        <v>1163</v>
      </c>
      <c r="N251" s="10">
        <v>223</v>
      </c>
      <c r="O251" s="10" t="s">
        <v>1949</v>
      </c>
      <c r="P251" s="13">
        <v>45882</v>
      </c>
    </row>
    <row r="252" spans="1:16" x14ac:dyDescent="0.25">
      <c r="A252" s="10" t="s">
        <v>574</v>
      </c>
      <c r="B252" s="10" t="s">
        <v>311</v>
      </c>
      <c r="C252" s="10" t="s">
        <v>29</v>
      </c>
      <c r="D252" s="10" t="s">
        <v>312</v>
      </c>
      <c r="E252" s="10">
        <v>9820914808</v>
      </c>
      <c r="F252" s="12">
        <v>4.5067361111111115</v>
      </c>
      <c r="G252" s="10">
        <v>729.7</v>
      </c>
      <c r="H252" s="10">
        <v>2640.1</v>
      </c>
      <c r="I252" s="12">
        <v>84.29965277777778</v>
      </c>
      <c r="J252" s="10">
        <v>36</v>
      </c>
      <c r="K252" s="10">
        <v>17</v>
      </c>
      <c r="L252" s="10" t="s">
        <v>890</v>
      </c>
      <c r="M252" s="10" t="s">
        <v>891</v>
      </c>
      <c r="N252" s="10">
        <v>234</v>
      </c>
      <c r="O252" s="10" t="s">
        <v>1949</v>
      </c>
      <c r="P252" s="13">
        <v>46151</v>
      </c>
    </row>
    <row r="253" spans="1:16" x14ac:dyDescent="0.25">
      <c r="A253" s="10" t="s">
        <v>575</v>
      </c>
      <c r="B253" s="10" t="s">
        <v>311</v>
      </c>
      <c r="C253" s="10" t="s">
        <v>46</v>
      </c>
      <c r="D253" s="10" t="s">
        <v>436</v>
      </c>
      <c r="E253" s="10">
        <v>9824004651</v>
      </c>
      <c r="F253" s="10" t="s">
        <v>309</v>
      </c>
      <c r="G253" s="10"/>
      <c r="H253" s="10">
        <v>0</v>
      </c>
      <c r="I253" s="12">
        <v>84.337824074074078</v>
      </c>
      <c r="J253" s="10">
        <v>1</v>
      </c>
      <c r="K253" s="10">
        <v>0</v>
      </c>
      <c r="L253" s="10" t="s">
        <v>1899</v>
      </c>
      <c r="M253" s="10" t="s">
        <v>1899</v>
      </c>
      <c r="N253" s="10">
        <v>19</v>
      </c>
      <c r="O253" s="10" t="s">
        <v>1950</v>
      </c>
      <c r="P253" s="10"/>
    </row>
    <row r="254" spans="1:16" x14ac:dyDescent="0.25">
      <c r="A254" s="10" t="s">
        <v>576</v>
      </c>
      <c r="B254" s="10" t="s">
        <v>311</v>
      </c>
      <c r="C254" s="10" t="s">
        <v>29</v>
      </c>
      <c r="D254" s="10" t="s">
        <v>312</v>
      </c>
      <c r="E254" s="10">
        <v>9820914808</v>
      </c>
      <c r="F254" s="12">
        <v>1.6830092592592591</v>
      </c>
      <c r="G254" s="10">
        <v>983.53</v>
      </c>
      <c r="H254" s="10">
        <v>335.44</v>
      </c>
      <c r="I254" s="12">
        <v>84.29965277777778</v>
      </c>
      <c r="J254" s="10">
        <v>29</v>
      </c>
      <c r="K254" s="10">
        <v>16</v>
      </c>
      <c r="L254" s="10" t="s">
        <v>974</v>
      </c>
      <c r="M254" s="10" t="s">
        <v>975</v>
      </c>
      <c r="N254" s="10">
        <v>323</v>
      </c>
      <c r="O254" s="10" t="s">
        <v>1949</v>
      </c>
      <c r="P254" s="13">
        <v>45918</v>
      </c>
    </row>
    <row r="255" spans="1:16" x14ac:dyDescent="0.25">
      <c r="A255" s="10" t="s">
        <v>577</v>
      </c>
      <c r="B255" s="10" t="s">
        <v>311</v>
      </c>
      <c r="C255" s="10" t="s">
        <v>29</v>
      </c>
      <c r="D255" s="10" t="s">
        <v>312</v>
      </c>
      <c r="E255" s="10">
        <v>9820914808</v>
      </c>
      <c r="F255" s="12">
        <v>1.8766203703703703</v>
      </c>
      <c r="G255" s="10">
        <v>1262.33</v>
      </c>
      <c r="H255" s="10">
        <v>301.20999999999998</v>
      </c>
      <c r="I255" s="12">
        <v>84.29965277777778</v>
      </c>
      <c r="J255" s="10">
        <v>4</v>
      </c>
      <c r="K255" s="10">
        <v>1</v>
      </c>
      <c r="L255" s="10" t="s">
        <v>1614</v>
      </c>
      <c r="M255" s="10" t="s">
        <v>1615</v>
      </c>
      <c r="N255" s="10">
        <v>579</v>
      </c>
      <c r="O255" s="10" t="s">
        <v>1949</v>
      </c>
      <c r="P255" s="13">
        <v>46096</v>
      </c>
    </row>
    <row r="256" spans="1:16" x14ac:dyDescent="0.25">
      <c r="A256" s="10" t="s">
        <v>578</v>
      </c>
      <c r="B256" s="10" t="s">
        <v>311</v>
      </c>
      <c r="C256" s="10" t="s">
        <v>29</v>
      </c>
      <c r="D256" s="10" t="s">
        <v>312</v>
      </c>
      <c r="E256" s="10">
        <v>9820914808</v>
      </c>
      <c r="F256" s="12">
        <v>2.2563078703703705</v>
      </c>
      <c r="G256" s="10">
        <v>369.08</v>
      </c>
      <c r="H256" s="10">
        <v>571.85</v>
      </c>
      <c r="I256" s="12">
        <v>84.29965277777778</v>
      </c>
      <c r="J256" s="10">
        <v>19</v>
      </c>
      <c r="K256" s="10">
        <v>7</v>
      </c>
      <c r="L256" s="10" t="s">
        <v>1132</v>
      </c>
      <c r="M256" s="10" t="s">
        <v>1133</v>
      </c>
      <c r="N256" s="10">
        <v>341</v>
      </c>
      <c r="O256" s="10" t="s">
        <v>1950</v>
      </c>
      <c r="P256" s="13">
        <v>46096</v>
      </c>
    </row>
    <row r="257" spans="1:16" x14ac:dyDescent="0.25">
      <c r="A257" s="10" t="s">
        <v>579</v>
      </c>
      <c r="B257" s="10" t="s">
        <v>311</v>
      </c>
      <c r="C257" s="10" t="s">
        <v>29</v>
      </c>
      <c r="D257" s="10" t="s">
        <v>312</v>
      </c>
      <c r="E257" s="10">
        <v>9820914808</v>
      </c>
      <c r="F257" s="11">
        <v>0.37569444444444444</v>
      </c>
      <c r="G257" s="10">
        <v>541</v>
      </c>
      <c r="H257" s="10">
        <v>30.28</v>
      </c>
      <c r="I257" s="12">
        <v>84.29965277777778</v>
      </c>
      <c r="J257" s="10">
        <v>14</v>
      </c>
      <c r="K257" s="10">
        <v>3</v>
      </c>
      <c r="L257" s="10" t="s">
        <v>1252</v>
      </c>
      <c r="M257" s="10" t="s">
        <v>1253</v>
      </c>
      <c r="N257" s="10">
        <v>435</v>
      </c>
      <c r="O257" s="10" t="s">
        <v>1949</v>
      </c>
      <c r="P257" s="13">
        <v>45840</v>
      </c>
    </row>
    <row r="258" spans="1:16" x14ac:dyDescent="0.25">
      <c r="A258" s="10" t="s">
        <v>580</v>
      </c>
      <c r="B258" s="10" t="s">
        <v>311</v>
      </c>
      <c r="C258" s="10" t="s">
        <v>29</v>
      </c>
      <c r="D258" s="10" t="s">
        <v>312</v>
      </c>
      <c r="E258" s="10">
        <v>9820914808</v>
      </c>
      <c r="F258" s="11">
        <v>0.35905092592592591</v>
      </c>
      <c r="G258" s="10">
        <v>517.03</v>
      </c>
      <c r="H258" s="10">
        <v>51.81</v>
      </c>
      <c r="I258" s="12">
        <v>84.29965277777778</v>
      </c>
      <c r="J258" s="10">
        <v>18</v>
      </c>
      <c r="K258" s="10">
        <v>0</v>
      </c>
      <c r="L258" s="10" t="s">
        <v>1144</v>
      </c>
      <c r="M258" s="10" t="s">
        <v>1145</v>
      </c>
      <c r="N258" s="10">
        <v>229</v>
      </c>
      <c r="O258" s="10" t="s">
        <v>1950</v>
      </c>
      <c r="P258" s="13">
        <v>46080</v>
      </c>
    </row>
    <row r="259" spans="1:16" x14ac:dyDescent="0.25">
      <c r="A259" s="10" t="s">
        <v>581</v>
      </c>
      <c r="B259" s="10" t="s">
        <v>311</v>
      </c>
      <c r="C259" s="10" t="s">
        <v>29</v>
      </c>
      <c r="D259" s="10" t="s">
        <v>312</v>
      </c>
      <c r="E259" s="10">
        <v>9820914808</v>
      </c>
      <c r="F259" s="12">
        <v>12.762141203703704</v>
      </c>
      <c r="G259" s="10">
        <v>1097.48</v>
      </c>
      <c r="H259" s="10">
        <v>2573.0300000000002</v>
      </c>
      <c r="I259" s="12">
        <v>84.29965277777778</v>
      </c>
      <c r="J259" s="10">
        <v>60</v>
      </c>
      <c r="K259" s="10">
        <v>11</v>
      </c>
      <c r="L259" s="10" t="s">
        <v>802</v>
      </c>
      <c r="M259" s="10" t="s">
        <v>803</v>
      </c>
      <c r="N259" s="10">
        <v>276</v>
      </c>
      <c r="O259" s="10" t="s">
        <v>1949</v>
      </c>
      <c r="P259" s="13">
        <v>46060</v>
      </c>
    </row>
    <row r="260" spans="1:16" x14ac:dyDescent="0.25">
      <c r="A260" s="10" t="s">
        <v>582</v>
      </c>
      <c r="B260" s="10" t="s">
        <v>311</v>
      </c>
      <c r="C260" s="10" t="s">
        <v>29</v>
      </c>
      <c r="D260" s="10" t="s">
        <v>312</v>
      </c>
      <c r="E260" s="10">
        <v>9820914808</v>
      </c>
      <c r="F260" s="12">
        <v>4.3484953703703706</v>
      </c>
      <c r="G260" s="10">
        <v>501.83</v>
      </c>
      <c r="H260" s="10">
        <v>693.49</v>
      </c>
      <c r="I260" s="12">
        <v>84.29965277777778</v>
      </c>
      <c r="J260" s="10">
        <v>31</v>
      </c>
      <c r="K260" s="10">
        <v>16</v>
      </c>
      <c r="L260" s="10" t="s">
        <v>944</v>
      </c>
      <c r="M260" s="10" t="s">
        <v>945</v>
      </c>
      <c r="N260" s="10">
        <v>292</v>
      </c>
      <c r="O260" s="10" t="s">
        <v>1949</v>
      </c>
      <c r="P260" s="13">
        <v>46128</v>
      </c>
    </row>
    <row r="261" spans="1:16" x14ac:dyDescent="0.25">
      <c r="A261" s="10" t="s">
        <v>583</v>
      </c>
      <c r="B261" s="10" t="s">
        <v>311</v>
      </c>
      <c r="C261" s="10" t="s">
        <v>29</v>
      </c>
      <c r="D261" s="10" t="s">
        <v>312</v>
      </c>
      <c r="E261" s="10">
        <v>9820914808</v>
      </c>
      <c r="F261" s="11">
        <v>0.10012731481481481</v>
      </c>
      <c r="G261" s="10">
        <v>144.18</v>
      </c>
      <c r="H261" s="10">
        <v>5.29</v>
      </c>
      <c r="I261" s="12">
        <v>84.29965277777778</v>
      </c>
      <c r="J261" s="10">
        <v>9</v>
      </c>
      <c r="K261" s="10">
        <v>0</v>
      </c>
      <c r="L261" s="10" t="s">
        <v>1400</v>
      </c>
      <c r="M261" s="10" t="s">
        <v>1401</v>
      </c>
      <c r="N261" s="10">
        <v>290</v>
      </c>
      <c r="O261" s="10" t="s">
        <v>1950</v>
      </c>
      <c r="P261" s="13">
        <v>45759</v>
      </c>
    </row>
    <row r="262" spans="1:16" x14ac:dyDescent="0.25">
      <c r="A262" s="10" t="s">
        <v>584</v>
      </c>
      <c r="B262" s="10" t="s">
        <v>311</v>
      </c>
      <c r="C262" s="10" t="s">
        <v>29</v>
      </c>
      <c r="D262" s="10" t="s">
        <v>312</v>
      </c>
      <c r="E262" s="10">
        <v>9820914808</v>
      </c>
      <c r="F262" s="11">
        <v>0.6125694444444445</v>
      </c>
      <c r="G262" s="10">
        <v>882.1</v>
      </c>
      <c r="H262" s="10">
        <v>25482875.07</v>
      </c>
      <c r="I262" s="12">
        <v>84.29965277777778</v>
      </c>
      <c r="J262" s="10">
        <v>10</v>
      </c>
      <c r="K262" s="10">
        <v>8</v>
      </c>
      <c r="L262" s="10" t="s">
        <v>1373</v>
      </c>
      <c r="M262" s="10" t="s">
        <v>1374</v>
      </c>
      <c r="N262" s="10">
        <v>423</v>
      </c>
      <c r="O262" s="10" t="s">
        <v>1950</v>
      </c>
      <c r="P262" s="13">
        <v>45940</v>
      </c>
    </row>
    <row r="263" spans="1:16" x14ac:dyDescent="0.25">
      <c r="A263" s="10" t="s">
        <v>585</v>
      </c>
      <c r="B263" s="10" t="s">
        <v>311</v>
      </c>
      <c r="C263" s="10" t="s">
        <v>29</v>
      </c>
      <c r="D263" s="10" t="s">
        <v>312</v>
      </c>
      <c r="E263" s="10">
        <v>9820914808</v>
      </c>
      <c r="F263" s="12">
        <v>2.9994791666666667</v>
      </c>
      <c r="G263" s="10">
        <v>1439.25</v>
      </c>
      <c r="H263" s="10">
        <v>413.05</v>
      </c>
      <c r="I263" s="12">
        <v>84.29965277777778</v>
      </c>
      <c r="J263" s="10">
        <v>22</v>
      </c>
      <c r="K263" s="10">
        <v>4</v>
      </c>
      <c r="L263" s="10" t="s">
        <v>1076</v>
      </c>
      <c r="M263" s="10" t="s">
        <v>1077</v>
      </c>
      <c r="N263" s="10">
        <v>263</v>
      </c>
      <c r="O263" s="10" t="s">
        <v>1950</v>
      </c>
      <c r="P263" s="13">
        <v>46042</v>
      </c>
    </row>
    <row r="264" spans="1:16" x14ac:dyDescent="0.25">
      <c r="A264" s="10" t="s">
        <v>586</v>
      </c>
      <c r="B264" s="10" t="s">
        <v>311</v>
      </c>
      <c r="C264" s="10" t="s">
        <v>29</v>
      </c>
      <c r="D264" s="10" t="s">
        <v>312</v>
      </c>
      <c r="E264" s="10">
        <v>9820914808</v>
      </c>
      <c r="F264" s="12">
        <v>4.0762384259259257</v>
      </c>
      <c r="G264" s="10">
        <v>109.78</v>
      </c>
      <c r="H264" s="10">
        <v>850</v>
      </c>
      <c r="I264" s="12">
        <v>84.29965277777778</v>
      </c>
      <c r="J264" s="10">
        <v>33</v>
      </c>
      <c r="K264" s="10">
        <v>9</v>
      </c>
      <c r="L264" s="10" t="s">
        <v>922</v>
      </c>
      <c r="M264" s="10" t="s">
        <v>923</v>
      </c>
      <c r="N264" s="10">
        <v>260</v>
      </c>
      <c r="O264" s="10" t="s">
        <v>1949</v>
      </c>
      <c r="P264" s="13">
        <v>46151</v>
      </c>
    </row>
    <row r="265" spans="1:16" x14ac:dyDescent="0.25">
      <c r="A265" s="10" t="s">
        <v>587</v>
      </c>
      <c r="B265" s="10" t="s">
        <v>311</v>
      </c>
      <c r="C265" s="10" t="s">
        <v>29</v>
      </c>
      <c r="D265" s="10" t="s">
        <v>312</v>
      </c>
      <c r="E265" s="10">
        <v>9820914808</v>
      </c>
      <c r="F265" s="12">
        <v>1.108125</v>
      </c>
      <c r="G265" s="10">
        <v>155.69999999999999</v>
      </c>
      <c r="H265" s="10">
        <v>215.08</v>
      </c>
      <c r="I265" s="12">
        <v>84.29965277777778</v>
      </c>
      <c r="J265" s="10">
        <v>8</v>
      </c>
      <c r="K265" s="10">
        <v>0</v>
      </c>
      <c r="L265" s="10" t="s">
        <v>1421</v>
      </c>
      <c r="M265" s="10" t="s">
        <v>1422</v>
      </c>
      <c r="N265" s="10">
        <v>265</v>
      </c>
      <c r="O265" s="10" t="s">
        <v>1950</v>
      </c>
      <c r="P265" s="13">
        <v>45782</v>
      </c>
    </row>
    <row r="266" spans="1:16" x14ac:dyDescent="0.25">
      <c r="A266" s="10" t="s">
        <v>588</v>
      </c>
      <c r="B266" s="10" t="s">
        <v>311</v>
      </c>
      <c r="C266" s="10" t="s">
        <v>29</v>
      </c>
      <c r="D266" s="10" t="s">
        <v>312</v>
      </c>
      <c r="E266" s="10">
        <v>9820914808</v>
      </c>
      <c r="F266" s="11">
        <v>0.54108796296296291</v>
      </c>
      <c r="G266" s="10">
        <v>779.17</v>
      </c>
      <c r="H266" s="10">
        <v>80.61</v>
      </c>
      <c r="I266" s="12">
        <v>84.29965277777778</v>
      </c>
      <c r="J266" s="10">
        <v>13</v>
      </c>
      <c r="K266" s="10">
        <v>0</v>
      </c>
      <c r="L266" s="10" t="s">
        <v>1269</v>
      </c>
      <c r="M266" s="10" t="s">
        <v>1270</v>
      </c>
      <c r="N266" s="10">
        <v>266</v>
      </c>
      <c r="O266" s="10" t="s">
        <v>1950</v>
      </c>
      <c r="P266" s="13">
        <v>46080</v>
      </c>
    </row>
    <row r="267" spans="1:16" x14ac:dyDescent="0.25">
      <c r="A267" s="10" t="s">
        <v>589</v>
      </c>
      <c r="B267" s="10" t="s">
        <v>311</v>
      </c>
      <c r="C267" s="10" t="s">
        <v>29</v>
      </c>
      <c r="D267" s="10" t="s">
        <v>312</v>
      </c>
      <c r="E267" s="10">
        <v>9820914808</v>
      </c>
      <c r="F267" s="10" t="s">
        <v>309</v>
      </c>
      <c r="G267" s="10"/>
      <c r="H267" s="10">
        <v>0</v>
      </c>
      <c r="I267" s="12">
        <v>84.29965277777778</v>
      </c>
      <c r="J267" s="10"/>
      <c r="K267" s="10"/>
      <c r="L267" s="10"/>
      <c r="M267" s="10"/>
      <c r="N267" s="10"/>
      <c r="O267" s="10" t="s">
        <v>1950</v>
      </c>
      <c r="P267" s="10"/>
    </row>
    <row r="268" spans="1:16" x14ac:dyDescent="0.25">
      <c r="A268" s="10" t="s">
        <v>590</v>
      </c>
      <c r="B268" s="10" t="s">
        <v>311</v>
      </c>
      <c r="C268" s="10" t="s">
        <v>29</v>
      </c>
      <c r="D268" s="10" t="s">
        <v>312</v>
      </c>
      <c r="E268" s="10">
        <v>9820914808</v>
      </c>
      <c r="F268" s="11">
        <v>0.75609953703703703</v>
      </c>
      <c r="G268" s="10">
        <v>1088.78</v>
      </c>
      <c r="H268" s="10">
        <v>119.9</v>
      </c>
      <c r="I268" s="12">
        <v>84.29965277777778</v>
      </c>
      <c r="J268" s="10">
        <v>12</v>
      </c>
      <c r="K268" s="10">
        <v>6</v>
      </c>
      <c r="L268" s="10" t="s">
        <v>1295</v>
      </c>
      <c r="M268" s="10" t="s">
        <v>1296</v>
      </c>
      <c r="N268" s="10">
        <v>298</v>
      </c>
      <c r="O268" s="10" t="s">
        <v>1949</v>
      </c>
      <c r="P268" s="13">
        <v>46151</v>
      </c>
    </row>
    <row r="269" spans="1:16" x14ac:dyDescent="0.25">
      <c r="A269" s="10" t="s">
        <v>591</v>
      </c>
      <c r="B269" s="10" t="s">
        <v>311</v>
      </c>
      <c r="C269" s="10" t="s">
        <v>29</v>
      </c>
      <c r="D269" s="10" t="s">
        <v>312</v>
      </c>
      <c r="E269" s="10">
        <v>9820914808</v>
      </c>
      <c r="F269" s="12">
        <v>1.0955902777777777</v>
      </c>
      <c r="G269" s="10">
        <v>137.65</v>
      </c>
      <c r="H269" s="10">
        <v>81.56</v>
      </c>
      <c r="I269" s="12">
        <v>84.29965277777778</v>
      </c>
      <c r="J269" s="10">
        <v>8</v>
      </c>
      <c r="K269" s="10">
        <v>4</v>
      </c>
      <c r="L269" s="10" t="s">
        <v>1423</v>
      </c>
      <c r="M269" s="10" t="s">
        <v>1424</v>
      </c>
      <c r="N269" s="10">
        <v>282</v>
      </c>
      <c r="O269" s="10" t="s">
        <v>1950</v>
      </c>
      <c r="P269" s="13">
        <v>45983</v>
      </c>
    </row>
    <row r="270" spans="1:16" x14ac:dyDescent="0.25">
      <c r="A270" s="10" t="s">
        <v>592</v>
      </c>
      <c r="B270" s="10" t="s">
        <v>311</v>
      </c>
      <c r="C270" s="10" t="s">
        <v>29</v>
      </c>
      <c r="D270" s="10" t="s">
        <v>312</v>
      </c>
      <c r="E270" s="10">
        <v>9820914808</v>
      </c>
      <c r="F270" s="12">
        <v>2.0709953703703703</v>
      </c>
      <c r="G270" s="10">
        <v>102.23</v>
      </c>
      <c r="H270" s="10">
        <v>2360776286.46</v>
      </c>
      <c r="I270" s="12">
        <v>84.29965277777778</v>
      </c>
      <c r="J270" s="10">
        <v>11</v>
      </c>
      <c r="K270" s="10">
        <v>0</v>
      </c>
      <c r="L270" s="10" t="s">
        <v>1325</v>
      </c>
      <c r="M270" s="10" t="s">
        <v>1326</v>
      </c>
      <c r="N270" s="10">
        <v>318</v>
      </c>
      <c r="O270" s="10" t="s">
        <v>1950</v>
      </c>
      <c r="P270" s="13">
        <v>45912</v>
      </c>
    </row>
    <row r="271" spans="1:16" x14ac:dyDescent="0.25">
      <c r="A271" s="10" t="s">
        <v>593</v>
      </c>
      <c r="B271" s="10" t="s">
        <v>311</v>
      </c>
      <c r="C271" s="10" t="s">
        <v>29</v>
      </c>
      <c r="D271" s="10" t="s">
        <v>312</v>
      </c>
      <c r="E271" s="10">
        <v>9820914808</v>
      </c>
      <c r="F271" s="11">
        <v>7.5312500000000004E-2</v>
      </c>
      <c r="G271" s="10">
        <v>108.45</v>
      </c>
      <c r="H271" s="10">
        <v>1.03</v>
      </c>
      <c r="I271" s="12">
        <v>84.29965277777778</v>
      </c>
      <c r="J271" s="10">
        <v>6</v>
      </c>
      <c r="K271" s="10">
        <v>0</v>
      </c>
      <c r="L271" s="10" t="s">
        <v>1508</v>
      </c>
      <c r="M271" s="10" t="s">
        <v>1509</v>
      </c>
      <c r="N271" s="10">
        <v>303</v>
      </c>
      <c r="O271" s="10" t="s">
        <v>1950</v>
      </c>
      <c r="P271" s="13">
        <v>45668</v>
      </c>
    </row>
    <row r="272" spans="1:16" x14ac:dyDescent="0.25">
      <c r="A272" s="10" t="s">
        <v>594</v>
      </c>
      <c r="B272" s="10" t="s">
        <v>311</v>
      </c>
      <c r="C272" s="10" t="s">
        <v>29</v>
      </c>
      <c r="D272" s="10" t="s">
        <v>312</v>
      </c>
      <c r="E272" s="10">
        <v>9820914808</v>
      </c>
      <c r="F272" s="12">
        <v>1.0875231481481482</v>
      </c>
      <c r="G272" s="10">
        <v>126.03</v>
      </c>
      <c r="H272" s="10">
        <v>125.83</v>
      </c>
      <c r="I272" s="12">
        <v>84.29965277777778</v>
      </c>
      <c r="J272" s="10">
        <v>34</v>
      </c>
      <c r="K272" s="10">
        <v>12</v>
      </c>
      <c r="L272" s="10" t="s">
        <v>908</v>
      </c>
      <c r="M272" s="10" t="s">
        <v>909</v>
      </c>
      <c r="N272" s="10">
        <v>303</v>
      </c>
      <c r="O272" s="10" t="s">
        <v>1949</v>
      </c>
      <c r="P272" s="13">
        <v>46101</v>
      </c>
    </row>
    <row r="273" spans="1:16" x14ac:dyDescent="0.25">
      <c r="A273" s="10" t="s">
        <v>595</v>
      </c>
      <c r="B273" s="10" t="s">
        <v>311</v>
      </c>
      <c r="C273" s="10" t="s">
        <v>29</v>
      </c>
      <c r="D273" s="10" t="s">
        <v>312</v>
      </c>
      <c r="E273" s="10">
        <v>9820914808</v>
      </c>
      <c r="F273" s="12">
        <v>1.7508680555555556</v>
      </c>
      <c r="G273" s="10">
        <v>1081.25</v>
      </c>
      <c r="H273" s="10">
        <v>2296399.13</v>
      </c>
      <c r="I273" s="12">
        <v>84.29965277777778</v>
      </c>
      <c r="J273" s="10">
        <v>12</v>
      </c>
      <c r="K273" s="10">
        <v>4</v>
      </c>
      <c r="L273" s="10" t="s">
        <v>1293</v>
      </c>
      <c r="M273" s="10" t="s">
        <v>1294</v>
      </c>
      <c r="N273" s="10">
        <v>285</v>
      </c>
      <c r="O273" s="10" t="s">
        <v>1950</v>
      </c>
      <c r="P273" s="13">
        <v>45749</v>
      </c>
    </row>
    <row r="274" spans="1:16" x14ac:dyDescent="0.25">
      <c r="A274" s="10" t="s">
        <v>596</v>
      </c>
      <c r="B274" s="10" t="s">
        <v>311</v>
      </c>
      <c r="C274" s="10" t="s">
        <v>29</v>
      </c>
      <c r="D274" s="10" t="s">
        <v>312</v>
      </c>
      <c r="E274" s="10">
        <v>9820914808</v>
      </c>
      <c r="F274" s="11">
        <v>0.2258449074074074</v>
      </c>
      <c r="G274" s="10">
        <v>325.22000000000003</v>
      </c>
      <c r="H274" s="10">
        <v>4.21</v>
      </c>
      <c r="I274" s="12">
        <v>84.29965277777778</v>
      </c>
      <c r="J274" s="10">
        <v>1</v>
      </c>
      <c r="K274" s="10">
        <v>0</v>
      </c>
      <c r="L274" s="10" t="s">
        <v>1907</v>
      </c>
      <c r="M274" s="10" t="s">
        <v>1907</v>
      </c>
      <c r="N274" s="10">
        <v>291</v>
      </c>
      <c r="O274" s="10" t="s">
        <v>1950</v>
      </c>
      <c r="P274" s="13">
        <v>45913</v>
      </c>
    </row>
    <row r="275" spans="1:16" x14ac:dyDescent="0.25">
      <c r="A275" s="10" t="s">
        <v>597</v>
      </c>
      <c r="B275" s="10" t="s">
        <v>311</v>
      </c>
      <c r="C275" s="10" t="s">
        <v>29</v>
      </c>
      <c r="D275" s="10" t="s">
        <v>312</v>
      </c>
      <c r="E275" s="10">
        <v>9820914808</v>
      </c>
      <c r="F275" s="11">
        <v>0.32050925925925927</v>
      </c>
      <c r="G275" s="10">
        <v>461.53</v>
      </c>
      <c r="H275" s="10">
        <v>35.950000000000003</v>
      </c>
      <c r="I275" s="12">
        <v>84.29965277777778</v>
      </c>
      <c r="J275" s="10">
        <v>7</v>
      </c>
      <c r="K275" s="10">
        <v>2</v>
      </c>
      <c r="L275" s="10" t="s">
        <v>1458</v>
      </c>
      <c r="M275" s="10" t="s">
        <v>1459</v>
      </c>
      <c r="N275" s="10">
        <v>285</v>
      </c>
      <c r="O275" s="10" t="s">
        <v>1950</v>
      </c>
      <c r="P275" s="13">
        <v>45646</v>
      </c>
    </row>
    <row r="276" spans="1:16" x14ac:dyDescent="0.25">
      <c r="A276" s="10" t="s">
        <v>598</v>
      </c>
      <c r="B276" s="10" t="s">
        <v>311</v>
      </c>
      <c r="C276" s="10" t="s">
        <v>29</v>
      </c>
      <c r="D276" s="10" t="s">
        <v>312</v>
      </c>
      <c r="E276" s="10">
        <v>9820914808</v>
      </c>
      <c r="F276" s="12">
        <v>2.1081597222222221</v>
      </c>
      <c r="G276" s="10">
        <v>155.75</v>
      </c>
      <c r="H276" s="10">
        <v>256.48</v>
      </c>
      <c r="I276" s="12">
        <v>84.29965277777778</v>
      </c>
      <c r="J276" s="10">
        <v>10</v>
      </c>
      <c r="K276" s="10">
        <v>1</v>
      </c>
      <c r="L276" s="10" t="s">
        <v>1355</v>
      </c>
      <c r="M276" s="10" t="s">
        <v>1356</v>
      </c>
      <c r="N276" s="10">
        <v>256</v>
      </c>
      <c r="O276" s="10" t="s">
        <v>1949</v>
      </c>
      <c r="P276" s="13">
        <v>46041</v>
      </c>
    </row>
    <row r="277" spans="1:16" x14ac:dyDescent="0.25">
      <c r="A277" s="10" t="s">
        <v>599</v>
      </c>
      <c r="B277" s="10" t="s">
        <v>311</v>
      </c>
      <c r="C277" s="10" t="s">
        <v>29</v>
      </c>
      <c r="D277" s="10" t="s">
        <v>312</v>
      </c>
      <c r="E277" s="10">
        <v>9820914808</v>
      </c>
      <c r="F277" s="11">
        <v>4.5717592592592594E-2</v>
      </c>
      <c r="G277" s="10">
        <v>65.83</v>
      </c>
      <c r="H277" s="10">
        <v>1.17</v>
      </c>
      <c r="I277" s="12">
        <v>84.29965277777778</v>
      </c>
      <c r="J277" s="10">
        <v>2</v>
      </c>
      <c r="K277" s="10">
        <v>0</v>
      </c>
      <c r="L277" s="10" t="s">
        <v>1800</v>
      </c>
      <c r="M277" s="10" t="s">
        <v>1801</v>
      </c>
      <c r="N277" s="10">
        <v>308</v>
      </c>
      <c r="O277" s="10" t="s">
        <v>1950</v>
      </c>
      <c r="P277" s="13">
        <v>45572</v>
      </c>
    </row>
    <row r="278" spans="1:16" x14ac:dyDescent="0.25">
      <c r="A278" s="10" t="s">
        <v>600</v>
      </c>
      <c r="B278" s="10" t="s">
        <v>311</v>
      </c>
      <c r="C278" s="10" t="s">
        <v>29</v>
      </c>
      <c r="D278" s="10" t="s">
        <v>312</v>
      </c>
      <c r="E278" s="10">
        <v>9820914808</v>
      </c>
      <c r="F278" s="11">
        <v>0.21417824074074074</v>
      </c>
      <c r="G278" s="10">
        <v>308.42</v>
      </c>
      <c r="H278" s="10">
        <v>38.96</v>
      </c>
      <c r="I278" s="12">
        <v>84.29965277777778</v>
      </c>
      <c r="J278" s="10">
        <v>2</v>
      </c>
      <c r="K278" s="10">
        <v>0</v>
      </c>
      <c r="L278" s="10" t="s">
        <v>1796</v>
      </c>
      <c r="M278" s="10" t="s">
        <v>1797</v>
      </c>
      <c r="N278" s="10">
        <v>270</v>
      </c>
      <c r="O278" s="10" t="s">
        <v>1950</v>
      </c>
      <c r="P278" s="13">
        <v>46079</v>
      </c>
    </row>
    <row r="279" spans="1:16" x14ac:dyDescent="0.25">
      <c r="A279" s="10" t="s">
        <v>601</v>
      </c>
      <c r="B279" s="10" t="s">
        <v>311</v>
      </c>
      <c r="C279" s="10" t="s">
        <v>29</v>
      </c>
      <c r="D279" s="10" t="s">
        <v>312</v>
      </c>
      <c r="E279" s="10">
        <v>9820914808</v>
      </c>
      <c r="F279" s="12">
        <v>2.1572569444444443</v>
      </c>
      <c r="G279" s="10">
        <v>226.45</v>
      </c>
      <c r="H279" s="10">
        <v>391.37</v>
      </c>
      <c r="I279" s="12">
        <v>84.29965277777778</v>
      </c>
      <c r="J279" s="10">
        <v>21</v>
      </c>
      <c r="K279" s="10">
        <v>10</v>
      </c>
      <c r="L279" s="10" t="s">
        <v>1096</v>
      </c>
      <c r="M279" s="10" t="s">
        <v>1097</v>
      </c>
      <c r="N279" s="10">
        <v>265</v>
      </c>
      <c r="O279" s="10" t="s">
        <v>1950</v>
      </c>
      <c r="P279" s="13">
        <v>46082</v>
      </c>
    </row>
    <row r="280" spans="1:16" x14ac:dyDescent="0.25">
      <c r="A280" s="10" t="s">
        <v>602</v>
      </c>
      <c r="B280" s="10" t="s">
        <v>311</v>
      </c>
      <c r="C280" s="10" t="s">
        <v>29</v>
      </c>
      <c r="D280" s="10" t="s">
        <v>312</v>
      </c>
      <c r="E280" s="10">
        <v>9820914808</v>
      </c>
      <c r="F280" s="12">
        <v>1.8085416666666667</v>
      </c>
      <c r="G280" s="10">
        <v>1164.3</v>
      </c>
      <c r="H280" s="10">
        <v>302.44</v>
      </c>
      <c r="I280" s="12">
        <v>84.29965277777778</v>
      </c>
      <c r="J280" s="10">
        <v>19</v>
      </c>
      <c r="K280" s="10">
        <v>4</v>
      </c>
      <c r="L280" s="10" t="s">
        <v>1130</v>
      </c>
      <c r="M280" s="10" t="s">
        <v>1131</v>
      </c>
      <c r="N280" s="10">
        <v>266</v>
      </c>
      <c r="O280" s="10" t="s">
        <v>1950</v>
      </c>
      <c r="P280" s="13">
        <v>45924</v>
      </c>
    </row>
    <row r="281" spans="1:16" x14ac:dyDescent="0.25">
      <c r="A281" s="10" t="s">
        <v>603</v>
      </c>
      <c r="B281" s="10" t="s">
        <v>311</v>
      </c>
      <c r="C281" s="10" t="s">
        <v>29</v>
      </c>
      <c r="D281" s="10" t="s">
        <v>312</v>
      </c>
      <c r="E281" s="10">
        <v>9820914808</v>
      </c>
      <c r="F281" s="10" t="s">
        <v>309</v>
      </c>
      <c r="G281" s="10"/>
      <c r="H281" s="10">
        <v>0</v>
      </c>
      <c r="I281" s="12">
        <v>84.29965277777778</v>
      </c>
      <c r="J281" s="10"/>
      <c r="K281" s="10"/>
      <c r="L281" s="10"/>
      <c r="M281" s="10"/>
      <c r="N281" s="10"/>
      <c r="O281" s="10" t="s">
        <v>1950</v>
      </c>
      <c r="P281" s="10"/>
    </row>
    <row r="282" spans="1:16" x14ac:dyDescent="0.25">
      <c r="A282" s="10" t="s">
        <v>604</v>
      </c>
      <c r="B282" s="10" t="s">
        <v>311</v>
      </c>
      <c r="C282" s="10" t="s">
        <v>29</v>
      </c>
      <c r="D282" s="10" t="s">
        <v>312</v>
      </c>
      <c r="E282" s="10">
        <v>9820914808</v>
      </c>
      <c r="F282" s="12">
        <v>1.6123842592592592</v>
      </c>
      <c r="G282" s="10">
        <v>881.83</v>
      </c>
      <c r="H282" s="10">
        <v>179.92</v>
      </c>
      <c r="I282" s="12">
        <v>84.29965277777778</v>
      </c>
      <c r="J282" s="10">
        <v>23</v>
      </c>
      <c r="K282" s="10">
        <v>5</v>
      </c>
      <c r="L282" s="10" t="s">
        <v>1054</v>
      </c>
      <c r="M282" s="10" t="s">
        <v>1055</v>
      </c>
      <c r="N282" s="10">
        <v>261</v>
      </c>
      <c r="O282" s="10" t="s">
        <v>1950</v>
      </c>
      <c r="P282" s="13">
        <v>46051</v>
      </c>
    </row>
    <row r="283" spans="1:16" x14ac:dyDescent="0.25">
      <c r="A283" s="10" t="s">
        <v>605</v>
      </c>
      <c r="B283" s="10" t="s">
        <v>311</v>
      </c>
      <c r="C283" s="10" t="s">
        <v>29</v>
      </c>
      <c r="D283" s="10" t="s">
        <v>312</v>
      </c>
      <c r="E283" s="10">
        <v>9820914808</v>
      </c>
      <c r="F283" s="12">
        <v>1.4186689814814815</v>
      </c>
      <c r="G283" s="10">
        <v>602.88</v>
      </c>
      <c r="H283" s="10">
        <v>266.08</v>
      </c>
      <c r="I283" s="12">
        <v>84.29965277777778</v>
      </c>
      <c r="J283" s="10">
        <v>10</v>
      </c>
      <c r="K283" s="10">
        <v>4</v>
      </c>
      <c r="L283" s="10" t="s">
        <v>1357</v>
      </c>
      <c r="M283" s="10" t="s">
        <v>1358</v>
      </c>
      <c r="N283" s="10">
        <v>256</v>
      </c>
      <c r="O283" s="10" t="s">
        <v>1950</v>
      </c>
      <c r="P283" s="13">
        <v>46067</v>
      </c>
    </row>
    <row r="284" spans="1:16" x14ac:dyDescent="0.25">
      <c r="A284" s="10" t="s">
        <v>606</v>
      </c>
      <c r="B284" s="10" t="s">
        <v>311</v>
      </c>
      <c r="C284" s="10" t="s">
        <v>29</v>
      </c>
      <c r="D284" s="10" t="s">
        <v>312</v>
      </c>
      <c r="E284" s="10">
        <v>9820914808</v>
      </c>
      <c r="F284" s="11">
        <v>0.82436342592592593</v>
      </c>
      <c r="G284" s="10">
        <v>1187.08</v>
      </c>
      <c r="H284" s="10">
        <v>159.80000000000001</v>
      </c>
      <c r="I284" s="12">
        <v>84.29965277777778</v>
      </c>
      <c r="J284" s="10">
        <v>13</v>
      </c>
      <c r="K284" s="10">
        <v>7</v>
      </c>
      <c r="L284" s="10" t="s">
        <v>1277</v>
      </c>
      <c r="M284" s="10" t="s">
        <v>1278</v>
      </c>
      <c r="N284" s="10">
        <v>307</v>
      </c>
      <c r="O284" s="10" t="s">
        <v>1949</v>
      </c>
      <c r="P284" s="13">
        <v>45892</v>
      </c>
    </row>
    <row r="285" spans="1:16" x14ac:dyDescent="0.25">
      <c r="A285" s="10" t="s">
        <v>607</v>
      </c>
      <c r="B285" s="10" t="s">
        <v>311</v>
      </c>
      <c r="C285" s="10" t="s">
        <v>29</v>
      </c>
      <c r="D285" s="10" t="s">
        <v>312</v>
      </c>
      <c r="E285" s="10">
        <v>9820914808</v>
      </c>
      <c r="F285" s="11">
        <v>0.3601388888888889</v>
      </c>
      <c r="G285" s="10">
        <v>518.6</v>
      </c>
      <c r="H285" s="10">
        <v>60</v>
      </c>
      <c r="I285" s="12">
        <v>84.29965277777778</v>
      </c>
      <c r="J285" s="10">
        <v>10</v>
      </c>
      <c r="K285" s="10">
        <v>4</v>
      </c>
      <c r="L285" s="10" t="s">
        <v>1369</v>
      </c>
      <c r="M285" s="10" t="s">
        <v>1370</v>
      </c>
      <c r="N285" s="10">
        <v>372</v>
      </c>
      <c r="O285" s="10" t="s">
        <v>1949</v>
      </c>
      <c r="P285" s="13">
        <v>45893</v>
      </c>
    </row>
    <row r="286" spans="1:16" x14ac:dyDescent="0.25">
      <c r="A286" s="10" t="s">
        <v>608</v>
      </c>
      <c r="B286" s="10" t="s">
        <v>311</v>
      </c>
      <c r="C286" s="10" t="s">
        <v>29</v>
      </c>
      <c r="D286" s="10" t="s">
        <v>312</v>
      </c>
      <c r="E286" s="10">
        <v>9820914808</v>
      </c>
      <c r="F286" s="12">
        <v>1.4401388888888889</v>
      </c>
      <c r="G286" s="10">
        <v>633.79999999999995</v>
      </c>
      <c r="H286" s="10">
        <v>296.48</v>
      </c>
      <c r="I286" s="12">
        <v>84.29965277777778</v>
      </c>
      <c r="J286" s="10">
        <v>12</v>
      </c>
      <c r="K286" s="10">
        <v>8</v>
      </c>
      <c r="L286" s="10" t="s">
        <v>1291</v>
      </c>
      <c r="M286" s="10" t="s">
        <v>1292</v>
      </c>
      <c r="N286" s="10">
        <v>257</v>
      </c>
      <c r="O286" s="10" t="s">
        <v>1949</v>
      </c>
      <c r="P286" s="13">
        <v>46027</v>
      </c>
    </row>
    <row r="287" spans="1:16" x14ac:dyDescent="0.25">
      <c r="A287" s="10" t="s">
        <v>609</v>
      </c>
      <c r="B287" s="10" t="s">
        <v>311</v>
      </c>
      <c r="C287" s="10" t="s">
        <v>29</v>
      </c>
      <c r="D287" s="10" t="s">
        <v>312</v>
      </c>
      <c r="E287" s="10">
        <v>9820914808</v>
      </c>
      <c r="F287" s="12">
        <v>1.7260300925925927</v>
      </c>
      <c r="G287" s="10">
        <v>1045.48</v>
      </c>
      <c r="H287" s="10">
        <v>214.43</v>
      </c>
      <c r="I287" s="12">
        <v>84.29965277777778</v>
      </c>
      <c r="J287" s="10">
        <v>24</v>
      </c>
      <c r="K287" s="10">
        <v>4</v>
      </c>
      <c r="L287" s="10" t="s">
        <v>1036</v>
      </c>
      <c r="M287" s="10" t="s">
        <v>1037</v>
      </c>
      <c r="N287" s="10">
        <v>262</v>
      </c>
      <c r="O287" s="10" t="s">
        <v>1950</v>
      </c>
      <c r="P287" s="13">
        <v>46016</v>
      </c>
    </row>
    <row r="288" spans="1:16" x14ac:dyDescent="0.25">
      <c r="A288" s="10" t="s">
        <v>610</v>
      </c>
      <c r="B288" s="10" t="s">
        <v>311</v>
      </c>
      <c r="C288" s="10" t="s">
        <v>29</v>
      </c>
      <c r="D288" s="10" t="s">
        <v>312</v>
      </c>
      <c r="E288" s="10">
        <v>9820914808</v>
      </c>
      <c r="F288" s="12">
        <v>1.5957407407407407</v>
      </c>
      <c r="G288" s="10">
        <v>857.87</v>
      </c>
      <c r="H288" s="10">
        <v>95.2</v>
      </c>
      <c r="I288" s="12">
        <v>84.29965277777778</v>
      </c>
      <c r="J288" s="10">
        <v>30</v>
      </c>
      <c r="K288" s="10">
        <v>8</v>
      </c>
      <c r="L288" s="10" t="s">
        <v>954</v>
      </c>
      <c r="M288" s="10" t="s">
        <v>955</v>
      </c>
      <c r="N288" s="10">
        <v>270</v>
      </c>
      <c r="O288" s="10" t="s">
        <v>1950</v>
      </c>
      <c r="P288" s="13">
        <v>46087</v>
      </c>
    </row>
    <row r="289" spans="1:16" x14ac:dyDescent="0.25">
      <c r="A289" s="10" t="s">
        <v>611</v>
      </c>
      <c r="B289" s="10" t="s">
        <v>311</v>
      </c>
      <c r="C289" s="10" t="s">
        <v>29</v>
      </c>
      <c r="D289" s="10" t="s">
        <v>312</v>
      </c>
      <c r="E289" s="10">
        <v>9820914808</v>
      </c>
      <c r="F289" s="11">
        <v>0.10210648148148148</v>
      </c>
      <c r="G289" s="10">
        <v>147.03</v>
      </c>
      <c r="H289" s="10">
        <v>2.1800000000000002</v>
      </c>
      <c r="I289" s="12">
        <v>84.29965277777778</v>
      </c>
      <c r="J289" s="10">
        <v>10</v>
      </c>
      <c r="K289" s="10">
        <v>0</v>
      </c>
      <c r="L289" s="10" t="s">
        <v>1363</v>
      </c>
      <c r="M289" s="10" t="s">
        <v>1364</v>
      </c>
      <c r="N289" s="10">
        <v>269</v>
      </c>
      <c r="O289" s="10" t="s">
        <v>1950</v>
      </c>
      <c r="P289" s="13">
        <v>45567</v>
      </c>
    </row>
    <row r="290" spans="1:16" x14ac:dyDescent="0.25">
      <c r="A290" s="10" t="s">
        <v>612</v>
      </c>
      <c r="B290" s="10" t="s">
        <v>311</v>
      </c>
      <c r="C290" s="10" t="s">
        <v>29</v>
      </c>
      <c r="D290" s="10" t="s">
        <v>312</v>
      </c>
      <c r="E290" s="10">
        <v>9820914808</v>
      </c>
      <c r="F290" s="12">
        <v>1.1281018518518517</v>
      </c>
      <c r="G290" s="10">
        <v>184.47</v>
      </c>
      <c r="H290" s="10">
        <v>120.48</v>
      </c>
      <c r="I290" s="12">
        <v>84.29965277777778</v>
      </c>
      <c r="J290" s="10">
        <v>16</v>
      </c>
      <c r="K290" s="10">
        <v>15</v>
      </c>
      <c r="L290" s="10" t="s">
        <v>1190</v>
      </c>
      <c r="M290" s="10" t="s">
        <v>1191</v>
      </c>
      <c r="N290" s="10">
        <v>267</v>
      </c>
      <c r="O290" s="10" t="s">
        <v>1949</v>
      </c>
      <c r="P290" s="13">
        <v>45681</v>
      </c>
    </row>
    <row r="291" spans="1:16" x14ac:dyDescent="0.25">
      <c r="A291" s="10" t="s">
        <v>613</v>
      </c>
      <c r="B291" s="10" t="s">
        <v>311</v>
      </c>
      <c r="C291" s="10" t="s">
        <v>29</v>
      </c>
      <c r="D291" s="10" t="s">
        <v>312</v>
      </c>
      <c r="E291" s="10">
        <v>9820914808</v>
      </c>
      <c r="F291" s="11">
        <v>0.66157407407407409</v>
      </c>
      <c r="G291" s="10">
        <v>952.67</v>
      </c>
      <c r="H291" s="10">
        <v>99.47</v>
      </c>
      <c r="I291" s="12">
        <v>84.29965277777778</v>
      </c>
      <c r="J291" s="10">
        <v>7</v>
      </c>
      <c r="K291" s="10">
        <v>1</v>
      </c>
      <c r="L291" s="10" t="s">
        <v>1462</v>
      </c>
      <c r="M291" s="10" t="s">
        <v>1463</v>
      </c>
      <c r="N291" s="10">
        <v>363</v>
      </c>
      <c r="O291" s="10" t="s">
        <v>1950</v>
      </c>
      <c r="P291" s="13">
        <v>46029</v>
      </c>
    </row>
    <row r="292" spans="1:16" x14ac:dyDescent="0.25">
      <c r="A292" s="10" t="s">
        <v>614</v>
      </c>
      <c r="B292" s="10" t="s">
        <v>311</v>
      </c>
      <c r="C292" s="10" t="s">
        <v>29</v>
      </c>
      <c r="D292" s="10" t="s">
        <v>312</v>
      </c>
      <c r="E292" s="10">
        <v>9820914808</v>
      </c>
      <c r="F292" s="12">
        <v>1.8845486111111112</v>
      </c>
      <c r="G292" s="10">
        <v>1273.75</v>
      </c>
      <c r="H292" s="10">
        <v>731.07</v>
      </c>
      <c r="I292" s="12">
        <v>84.29965277777778</v>
      </c>
      <c r="J292" s="10">
        <v>10</v>
      </c>
      <c r="K292" s="10">
        <v>1</v>
      </c>
      <c r="L292" s="10" t="s">
        <v>1361</v>
      </c>
      <c r="M292" s="10" t="s">
        <v>1362</v>
      </c>
      <c r="N292" s="10">
        <v>264</v>
      </c>
      <c r="O292" s="10" t="s">
        <v>1950</v>
      </c>
      <c r="P292" s="13">
        <v>46054</v>
      </c>
    </row>
    <row r="293" spans="1:16" x14ac:dyDescent="0.25">
      <c r="A293" s="10" t="s">
        <v>615</v>
      </c>
      <c r="B293" s="10" t="s">
        <v>311</v>
      </c>
      <c r="C293" s="10" t="s">
        <v>29</v>
      </c>
      <c r="D293" s="10" t="s">
        <v>312</v>
      </c>
      <c r="E293" s="10">
        <v>9820914808</v>
      </c>
      <c r="F293" s="12">
        <v>3.921712962962963</v>
      </c>
      <c r="G293" s="10">
        <v>1327.27</v>
      </c>
      <c r="H293" s="10">
        <v>1301.99</v>
      </c>
      <c r="I293" s="12">
        <v>84.29965277777778</v>
      </c>
      <c r="J293" s="10">
        <v>22</v>
      </c>
      <c r="K293" s="10">
        <v>7</v>
      </c>
      <c r="L293" s="10" t="s">
        <v>1078</v>
      </c>
      <c r="M293" s="10" t="s">
        <v>1079</v>
      </c>
      <c r="N293" s="10">
        <v>263</v>
      </c>
      <c r="O293" s="10" t="s">
        <v>1949</v>
      </c>
      <c r="P293" s="13">
        <v>46110</v>
      </c>
    </row>
    <row r="294" spans="1:16" x14ac:dyDescent="0.25">
      <c r="A294" s="10" t="s">
        <v>616</v>
      </c>
      <c r="B294" s="10" t="s">
        <v>311</v>
      </c>
      <c r="C294" s="10" t="s">
        <v>29</v>
      </c>
      <c r="D294" s="10" t="s">
        <v>312</v>
      </c>
      <c r="E294" s="10">
        <v>9820914808</v>
      </c>
      <c r="F294" s="12">
        <v>3.8445370370370369</v>
      </c>
      <c r="G294" s="10">
        <v>1216.1300000000001</v>
      </c>
      <c r="H294" s="10">
        <v>3747.27</v>
      </c>
      <c r="I294" s="12">
        <v>84.29965277777778</v>
      </c>
      <c r="J294" s="10">
        <v>17</v>
      </c>
      <c r="K294" s="10">
        <v>4</v>
      </c>
      <c r="L294" s="10" t="s">
        <v>1166</v>
      </c>
      <c r="M294" s="10" t="s">
        <v>1167</v>
      </c>
      <c r="N294" s="10">
        <v>258</v>
      </c>
      <c r="O294" s="10" t="s">
        <v>1950</v>
      </c>
      <c r="P294" s="13">
        <v>46094</v>
      </c>
    </row>
    <row r="295" spans="1:16" x14ac:dyDescent="0.25">
      <c r="A295" s="10" t="s">
        <v>617</v>
      </c>
      <c r="B295" s="10" t="s">
        <v>311</v>
      </c>
      <c r="C295" s="10" t="s">
        <v>29</v>
      </c>
      <c r="D295" s="10" t="s">
        <v>312</v>
      </c>
      <c r="E295" s="10">
        <v>9820914808</v>
      </c>
      <c r="F295" s="11">
        <v>0.53038194444444442</v>
      </c>
      <c r="G295" s="10">
        <v>763.75</v>
      </c>
      <c r="H295" s="10">
        <v>59.24</v>
      </c>
      <c r="I295" s="12">
        <v>84.29965277777778</v>
      </c>
      <c r="J295" s="10">
        <v>13</v>
      </c>
      <c r="K295" s="10">
        <v>7</v>
      </c>
      <c r="L295" s="10" t="s">
        <v>1275</v>
      </c>
      <c r="M295" s="10" t="s">
        <v>1276</v>
      </c>
      <c r="N295" s="10">
        <v>289</v>
      </c>
      <c r="O295" s="10" t="s">
        <v>1950</v>
      </c>
      <c r="P295" s="13">
        <v>46070</v>
      </c>
    </row>
    <row r="296" spans="1:16" x14ac:dyDescent="0.25">
      <c r="A296" s="10" t="s">
        <v>618</v>
      </c>
      <c r="B296" s="10" t="s">
        <v>311</v>
      </c>
      <c r="C296" s="10" t="s">
        <v>29</v>
      </c>
      <c r="D296" s="10" t="s">
        <v>312</v>
      </c>
      <c r="E296" s="10">
        <v>9820914808</v>
      </c>
      <c r="F296" s="11">
        <v>0.39061342592592591</v>
      </c>
      <c r="G296" s="10">
        <v>562.48</v>
      </c>
      <c r="H296" s="10">
        <v>27.03</v>
      </c>
      <c r="I296" s="12">
        <v>84.29965277777778</v>
      </c>
      <c r="J296" s="10">
        <v>8</v>
      </c>
      <c r="K296" s="10">
        <v>4</v>
      </c>
      <c r="L296" s="10" t="s">
        <v>1419</v>
      </c>
      <c r="M296" s="10" t="s">
        <v>1420</v>
      </c>
      <c r="N296" s="10">
        <v>265</v>
      </c>
      <c r="O296" s="10" t="s">
        <v>1950</v>
      </c>
      <c r="P296" s="13">
        <v>46053</v>
      </c>
    </row>
    <row r="297" spans="1:16" x14ac:dyDescent="0.25">
      <c r="A297" s="10" t="s">
        <v>619</v>
      </c>
      <c r="B297" s="10" t="s">
        <v>311</v>
      </c>
      <c r="C297" s="10" t="s">
        <v>29</v>
      </c>
      <c r="D297" s="10" t="s">
        <v>312</v>
      </c>
      <c r="E297" s="10">
        <v>9820914808</v>
      </c>
      <c r="F297" s="12">
        <v>4.5906018518518517</v>
      </c>
      <c r="G297" s="10">
        <v>850.47</v>
      </c>
      <c r="H297" s="10">
        <v>1152.9100000000001</v>
      </c>
      <c r="I297" s="12">
        <v>84.29965277777778</v>
      </c>
      <c r="J297" s="10">
        <v>15</v>
      </c>
      <c r="K297" s="10">
        <v>1</v>
      </c>
      <c r="L297" s="10" t="s">
        <v>1220</v>
      </c>
      <c r="M297" s="10" t="s">
        <v>1221</v>
      </c>
      <c r="N297" s="10">
        <v>269</v>
      </c>
      <c r="O297" s="10" t="s">
        <v>1949</v>
      </c>
      <c r="P297" s="13">
        <v>46043</v>
      </c>
    </row>
    <row r="298" spans="1:16" x14ac:dyDescent="0.25">
      <c r="A298" s="10" t="s">
        <v>620</v>
      </c>
      <c r="B298" s="10" t="s">
        <v>311</v>
      </c>
      <c r="C298" s="10" t="s">
        <v>29</v>
      </c>
      <c r="D298" s="10" t="s">
        <v>312</v>
      </c>
      <c r="E298" s="10">
        <v>9820914808</v>
      </c>
      <c r="F298" s="12">
        <v>1.1287499999999999</v>
      </c>
      <c r="G298" s="10">
        <v>185.4</v>
      </c>
      <c r="H298" s="10">
        <v>158.77000000000001</v>
      </c>
      <c r="I298" s="12">
        <v>84.29965277777778</v>
      </c>
      <c r="J298" s="10">
        <v>10</v>
      </c>
      <c r="K298" s="10">
        <v>5</v>
      </c>
      <c r="L298" s="10" t="s">
        <v>1371</v>
      </c>
      <c r="M298" s="10" t="s">
        <v>1372</v>
      </c>
      <c r="N298" s="10">
        <v>406</v>
      </c>
      <c r="O298" s="10" t="s">
        <v>1949</v>
      </c>
      <c r="P298" s="13">
        <v>46048</v>
      </c>
    </row>
    <row r="299" spans="1:16" x14ac:dyDescent="0.25">
      <c r="A299" s="10" t="s">
        <v>621</v>
      </c>
      <c r="B299" s="10" t="s">
        <v>311</v>
      </c>
      <c r="C299" s="10" t="s">
        <v>29</v>
      </c>
      <c r="D299" s="10" t="s">
        <v>312</v>
      </c>
      <c r="E299" s="10">
        <v>9820914808</v>
      </c>
      <c r="F299" s="12">
        <v>3.7790277777777779</v>
      </c>
      <c r="G299" s="10">
        <v>1121.8</v>
      </c>
      <c r="H299" s="10">
        <v>850.42</v>
      </c>
      <c r="I299" s="12">
        <v>84.29965277777778</v>
      </c>
      <c r="J299" s="10">
        <v>16</v>
      </c>
      <c r="K299" s="10">
        <v>3</v>
      </c>
      <c r="L299" s="10" t="s">
        <v>1194</v>
      </c>
      <c r="M299" s="10" t="s">
        <v>1195</v>
      </c>
      <c r="N299" s="10">
        <v>425</v>
      </c>
      <c r="O299" s="10" t="s">
        <v>1949</v>
      </c>
      <c r="P299" s="13">
        <v>45941</v>
      </c>
    </row>
    <row r="300" spans="1:16" x14ac:dyDescent="0.25">
      <c r="A300" s="10" t="s">
        <v>622</v>
      </c>
      <c r="B300" s="10" t="s">
        <v>311</v>
      </c>
      <c r="C300" s="10" t="s">
        <v>29</v>
      </c>
      <c r="D300" s="10" t="s">
        <v>312</v>
      </c>
      <c r="E300" s="10">
        <v>9820914808</v>
      </c>
      <c r="F300" s="12">
        <v>1.3191782407407406</v>
      </c>
      <c r="G300" s="10">
        <v>459.62</v>
      </c>
      <c r="H300" s="10">
        <v>184</v>
      </c>
      <c r="I300" s="12">
        <v>84.29965277777778</v>
      </c>
      <c r="J300" s="10">
        <v>19</v>
      </c>
      <c r="K300" s="10">
        <v>6</v>
      </c>
      <c r="L300" s="10" t="s">
        <v>1134</v>
      </c>
      <c r="M300" s="10" t="s">
        <v>1135</v>
      </c>
      <c r="N300" s="10">
        <v>427</v>
      </c>
      <c r="O300" s="10" t="s">
        <v>1949</v>
      </c>
      <c r="P300" s="13">
        <v>46128</v>
      </c>
    </row>
    <row r="301" spans="1:16" x14ac:dyDescent="0.25">
      <c r="A301" s="10" t="s">
        <v>623</v>
      </c>
      <c r="B301" s="10" t="s">
        <v>311</v>
      </c>
      <c r="C301" s="10" t="s">
        <v>29</v>
      </c>
      <c r="D301" s="10" t="s">
        <v>312</v>
      </c>
      <c r="E301" s="10">
        <v>9820914808</v>
      </c>
      <c r="F301" s="11">
        <v>0.3354861111111111</v>
      </c>
      <c r="G301" s="10">
        <v>483.1</v>
      </c>
      <c r="H301" s="10">
        <v>77.06</v>
      </c>
      <c r="I301" s="12">
        <v>84.29965277777778</v>
      </c>
      <c r="J301" s="10">
        <v>10</v>
      </c>
      <c r="K301" s="10">
        <v>0</v>
      </c>
      <c r="L301" s="10" t="s">
        <v>1367</v>
      </c>
      <c r="M301" s="10" t="s">
        <v>1368</v>
      </c>
      <c r="N301" s="10">
        <v>355</v>
      </c>
      <c r="O301" s="10" t="s">
        <v>1950</v>
      </c>
      <c r="P301" s="13">
        <v>45770</v>
      </c>
    </row>
    <row r="302" spans="1:16" x14ac:dyDescent="0.25">
      <c r="A302" s="10" t="s">
        <v>624</v>
      </c>
      <c r="B302" s="10" t="s">
        <v>311</v>
      </c>
      <c r="C302" s="10" t="s">
        <v>29</v>
      </c>
      <c r="D302" s="10" t="s">
        <v>312</v>
      </c>
      <c r="E302" s="10">
        <v>9820914808</v>
      </c>
      <c r="F302" s="11">
        <v>0.46187499999999998</v>
      </c>
      <c r="G302" s="10">
        <v>665.1</v>
      </c>
      <c r="H302" s="10">
        <v>125.75</v>
      </c>
      <c r="I302" s="12">
        <v>84.29965277777778</v>
      </c>
      <c r="J302" s="10">
        <v>7</v>
      </c>
      <c r="K302" s="10">
        <v>5</v>
      </c>
      <c r="L302" s="10" t="s">
        <v>1466</v>
      </c>
      <c r="M302" s="10" t="s">
        <v>1467</v>
      </c>
      <c r="N302" s="10">
        <v>387</v>
      </c>
      <c r="O302" s="10" t="s">
        <v>1949</v>
      </c>
      <c r="P302" s="13">
        <v>45972</v>
      </c>
    </row>
    <row r="303" spans="1:16" x14ac:dyDescent="0.25">
      <c r="A303" s="10" t="s">
        <v>625</v>
      </c>
      <c r="B303" s="10" t="s">
        <v>311</v>
      </c>
      <c r="C303" s="10" t="s">
        <v>29</v>
      </c>
      <c r="D303" s="10" t="s">
        <v>312</v>
      </c>
      <c r="E303" s="10">
        <v>9820914808</v>
      </c>
      <c r="F303" s="12">
        <v>2.0994907407407406</v>
      </c>
      <c r="G303" s="10">
        <v>143.27000000000001</v>
      </c>
      <c r="H303" s="10">
        <v>319.16000000000003</v>
      </c>
      <c r="I303" s="12">
        <v>84.29965277777778</v>
      </c>
      <c r="J303" s="10">
        <v>22</v>
      </c>
      <c r="K303" s="10">
        <v>0</v>
      </c>
      <c r="L303" s="10" t="s">
        <v>1080</v>
      </c>
      <c r="M303" s="10" t="s">
        <v>1081</v>
      </c>
      <c r="N303" s="10">
        <v>375</v>
      </c>
      <c r="O303" s="10" t="s">
        <v>1950</v>
      </c>
      <c r="P303" s="13">
        <v>45995</v>
      </c>
    </row>
    <row r="304" spans="1:16" x14ac:dyDescent="0.25">
      <c r="A304" s="10" t="s">
        <v>626</v>
      </c>
      <c r="B304" s="10" t="s">
        <v>311</v>
      </c>
      <c r="C304" s="10" t="s">
        <v>29</v>
      </c>
      <c r="D304" s="10" t="s">
        <v>312</v>
      </c>
      <c r="E304" s="10">
        <v>9820914808</v>
      </c>
      <c r="F304" s="11">
        <v>7.013888888888889E-2</v>
      </c>
      <c r="G304" s="10">
        <v>101</v>
      </c>
      <c r="H304" s="10">
        <v>12.46</v>
      </c>
      <c r="I304" s="12">
        <v>84.29965277777778</v>
      </c>
      <c r="J304" s="10">
        <v>1</v>
      </c>
      <c r="K304" s="10">
        <v>0</v>
      </c>
      <c r="L304" s="10" t="s">
        <v>1922</v>
      </c>
      <c r="M304" s="10" t="s">
        <v>1922</v>
      </c>
      <c r="N304" s="10">
        <v>508</v>
      </c>
      <c r="O304" s="10" t="s">
        <v>1950</v>
      </c>
      <c r="P304" s="13">
        <v>45752</v>
      </c>
    </row>
    <row r="305" spans="1:16" x14ac:dyDescent="0.25">
      <c r="A305" s="10" t="s">
        <v>627</v>
      </c>
      <c r="B305" s="10" t="s">
        <v>311</v>
      </c>
      <c r="C305" s="10" t="s">
        <v>29</v>
      </c>
      <c r="D305" s="10" t="s">
        <v>312</v>
      </c>
      <c r="E305" s="10">
        <v>9820914808</v>
      </c>
      <c r="F305" s="12">
        <v>1.7504745370370369</v>
      </c>
      <c r="G305" s="10">
        <v>1080.68</v>
      </c>
      <c r="H305" s="10">
        <v>254.45</v>
      </c>
      <c r="I305" s="12">
        <v>84.29965277777778</v>
      </c>
      <c r="J305" s="10">
        <v>11</v>
      </c>
      <c r="K305" s="10">
        <v>6</v>
      </c>
      <c r="L305" s="10" t="s">
        <v>1327</v>
      </c>
      <c r="M305" s="10" t="s">
        <v>1328</v>
      </c>
      <c r="N305" s="10">
        <v>426</v>
      </c>
      <c r="O305" s="10" t="s">
        <v>1949</v>
      </c>
      <c r="P305" s="13">
        <v>46085</v>
      </c>
    </row>
    <row r="306" spans="1:16" x14ac:dyDescent="0.25">
      <c r="A306" s="10" t="s">
        <v>628</v>
      </c>
      <c r="B306" s="10" t="s">
        <v>311</v>
      </c>
      <c r="C306" s="10" t="s">
        <v>29</v>
      </c>
      <c r="D306" s="10" t="s">
        <v>312</v>
      </c>
      <c r="E306" s="10">
        <v>9820914808</v>
      </c>
      <c r="F306" s="11">
        <v>0.39363425925925927</v>
      </c>
      <c r="G306" s="10">
        <v>566.83000000000004</v>
      </c>
      <c r="H306" s="10">
        <v>49.9</v>
      </c>
      <c r="I306" s="12">
        <v>84.29965277777778</v>
      </c>
      <c r="J306" s="10">
        <v>7</v>
      </c>
      <c r="K306" s="10">
        <v>2</v>
      </c>
      <c r="L306" s="10" t="s">
        <v>1464</v>
      </c>
      <c r="M306" s="10" t="s">
        <v>1465</v>
      </c>
      <c r="N306" s="10">
        <v>376</v>
      </c>
      <c r="O306" s="10" t="s">
        <v>1949</v>
      </c>
      <c r="P306" s="13">
        <v>46031</v>
      </c>
    </row>
    <row r="307" spans="1:16" x14ac:dyDescent="0.25">
      <c r="A307" s="10" t="s">
        <v>629</v>
      </c>
      <c r="B307" s="10" t="s">
        <v>311</v>
      </c>
      <c r="C307" s="10" t="s">
        <v>29</v>
      </c>
      <c r="D307" s="10" t="s">
        <v>312</v>
      </c>
      <c r="E307" s="10">
        <v>9820914808</v>
      </c>
      <c r="F307" s="12">
        <v>3.4275347222222221</v>
      </c>
      <c r="G307" s="10">
        <v>615.65</v>
      </c>
      <c r="H307" s="10">
        <v>377.97</v>
      </c>
      <c r="I307" s="12">
        <v>84.29965277777778</v>
      </c>
      <c r="J307" s="10">
        <v>16</v>
      </c>
      <c r="K307" s="10">
        <v>6</v>
      </c>
      <c r="L307" s="10" t="s">
        <v>1192</v>
      </c>
      <c r="M307" s="10" t="s">
        <v>1193</v>
      </c>
      <c r="N307" s="10">
        <v>382</v>
      </c>
      <c r="O307" s="10" t="s">
        <v>1949</v>
      </c>
      <c r="P307" s="13">
        <v>46154</v>
      </c>
    </row>
    <row r="308" spans="1:16" x14ac:dyDescent="0.25">
      <c r="A308" s="10" t="s">
        <v>630</v>
      </c>
      <c r="B308" s="10" t="s">
        <v>311</v>
      </c>
      <c r="C308" s="10" t="s">
        <v>29</v>
      </c>
      <c r="D308" s="10" t="s">
        <v>312</v>
      </c>
      <c r="E308" s="10">
        <v>9820914808</v>
      </c>
      <c r="F308" s="12">
        <v>2.3860532407407407</v>
      </c>
      <c r="G308" s="10">
        <v>555.91999999999996</v>
      </c>
      <c r="H308" s="10">
        <v>363.5</v>
      </c>
      <c r="I308" s="12">
        <v>84.29965277777778</v>
      </c>
      <c r="J308" s="10">
        <v>15</v>
      </c>
      <c r="K308" s="10">
        <v>9</v>
      </c>
      <c r="L308" s="10" t="s">
        <v>1218</v>
      </c>
      <c r="M308" s="10" t="s">
        <v>1219</v>
      </c>
      <c r="N308" s="10">
        <v>264</v>
      </c>
      <c r="O308" s="10" t="s">
        <v>1949</v>
      </c>
      <c r="P308" s="13">
        <v>45963</v>
      </c>
    </row>
    <row r="309" spans="1:16" x14ac:dyDescent="0.25">
      <c r="A309" s="10" t="s">
        <v>631</v>
      </c>
      <c r="B309" s="10" t="s">
        <v>311</v>
      </c>
      <c r="C309" s="10" t="s">
        <v>29</v>
      </c>
      <c r="D309" s="10" t="s">
        <v>312</v>
      </c>
      <c r="E309" s="10">
        <v>9820914808</v>
      </c>
      <c r="F309" s="12">
        <v>4.0283333333333333</v>
      </c>
      <c r="G309" s="10">
        <v>40.799999999999997</v>
      </c>
      <c r="H309" s="10">
        <v>803.35</v>
      </c>
      <c r="I309" s="12">
        <v>84.29965277777778</v>
      </c>
      <c r="J309" s="10">
        <v>27</v>
      </c>
      <c r="K309" s="10">
        <v>9</v>
      </c>
      <c r="L309" s="10" t="s">
        <v>994</v>
      </c>
      <c r="M309" s="10" t="s">
        <v>995</v>
      </c>
      <c r="N309" s="10">
        <v>350</v>
      </c>
      <c r="O309" s="10" t="s">
        <v>1949</v>
      </c>
      <c r="P309" s="13">
        <v>46021</v>
      </c>
    </row>
    <row r="310" spans="1:16" x14ac:dyDescent="0.25">
      <c r="A310" s="10" t="s">
        <v>632</v>
      </c>
      <c r="B310" s="10" t="s">
        <v>311</v>
      </c>
      <c r="C310" s="10" t="s">
        <v>29</v>
      </c>
      <c r="D310" s="10" t="s">
        <v>312</v>
      </c>
      <c r="E310" s="10">
        <v>9820914808</v>
      </c>
      <c r="F310" s="11">
        <v>9.9293981481481483E-2</v>
      </c>
      <c r="G310" s="10">
        <v>142.97999999999999</v>
      </c>
      <c r="H310" s="10">
        <v>16.350000000000001</v>
      </c>
      <c r="I310" s="12">
        <v>84.29965277777778</v>
      </c>
      <c r="J310" s="10">
        <v>4</v>
      </c>
      <c r="K310" s="10">
        <v>0</v>
      </c>
      <c r="L310" s="10" t="s">
        <v>1610</v>
      </c>
      <c r="M310" s="10" t="s">
        <v>1611</v>
      </c>
      <c r="N310" s="10">
        <v>433</v>
      </c>
      <c r="O310" s="10" t="s">
        <v>1950</v>
      </c>
      <c r="P310" s="13">
        <v>45871</v>
      </c>
    </row>
    <row r="311" spans="1:16" x14ac:dyDescent="0.25">
      <c r="A311" s="10" t="s">
        <v>633</v>
      </c>
      <c r="B311" s="10" t="s">
        <v>311</v>
      </c>
      <c r="C311" s="10" t="s">
        <v>29</v>
      </c>
      <c r="D311" s="10" t="s">
        <v>312</v>
      </c>
      <c r="E311" s="10">
        <v>9820914808</v>
      </c>
      <c r="F311" s="11">
        <v>0.91584490740740743</v>
      </c>
      <c r="G311" s="10">
        <v>1318.82</v>
      </c>
      <c r="H311" s="10">
        <v>115.54</v>
      </c>
      <c r="I311" s="12">
        <v>84.29965277777778</v>
      </c>
      <c r="J311" s="10">
        <v>3</v>
      </c>
      <c r="K311" s="10">
        <v>0</v>
      </c>
      <c r="L311" s="10" t="s">
        <v>1713</v>
      </c>
      <c r="M311" s="10" t="s">
        <v>1714</v>
      </c>
      <c r="N311" s="10">
        <v>441</v>
      </c>
      <c r="O311" s="10" t="s">
        <v>1950</v>
      </c>
      <c r="P311" s="13">
        <v>46135</v>
      </c>
    </row>
    <row r="312" spans="1:16" x14ac:dyDescent="0.25">
      <c r="A312" s="10" t="s">
        <v>634</v>
      </c>
      <c r="B312" s="10" t="s">
        <v>311</v>
      </c>
      <c r="C312" s="10" t="s">
        <v>29</v>
      </c>
      <c r="D312" s="10" t="s">
        <v>312</v>
      </c>
      <c r="E312" s="10">
        <v>9820914808</v>
      </c>
      <c r="F312" s="12">
        <v>3.2152083333333334</v>
      </c>
      <c r="G312" s="10">
        <v>309.89999999999998</v>
      </c>
      <c r="H312" s="10">
        <v>1073.58</v>
      </c>
      <c r="I312" s="12">
        <v>84.29965277777778</v>
      </c>
      <c r="J312" s="10">
        <v>22</v>
      </c>
      <c r="K312" s="10">
        <v>13</v>
      </c>
      <c r="L312" s="10" t="s">
        <v>1082</v>
      </c>
      <c r="M312" s="10" t="s">
        <v>1083</v>
      </c>
      <c r="N312" s="10">
        <v>377</v>
      </c>
      <c r="O312" s="10" t="s">
        <v>1949</v>
      </c>
      <c r="P312" s="13">
        <v>46152</v>
      </c>
    </row>
    <row r="313" spans="1:16" x14ac:dyDescent="0.25">
      <c r="A313" s="10" t="s">
        <v>635</v>
      </c>
      <c r="B313" s="10" t="s">
        <v>311</v>
      </c>
      <c r="C313" s="10" t="s">
        <v>84</v>
      </c>
      <c r="D313" s="10" t="s">
        <v>636</v>
      </c>
      <c r="E313" s="10">
        <v>9060415520</v>
      </c>
      <c r="F313" s="12">
        <v>7.371458333333333</v>
      </c>
      <c r="G313" s="10">
        <v>534.9</v>
      </c>
      <c r="H313" s="10">
        <v>843.6</v>
      </c>
      <c r="I313" s="12">
        <v>84.341712962962958</v>
      </c>
      <c r="J313" s="10">
        <v>16</v>
      </c>
      <c r="K313" s="10">
        <v>5</v>
      </c>
      <c r="L313" s="10" t="s">
        <v>1188</v>
      </c>
      <c r="M313" s="10" t="s">
        <v>1189</v>
      </c>
      <c r="N313" s="10">
        <v>-133</v>
      </c>
      <c r="O313" s="10" t="s">
        <v>1950</v>
      </c>
      <c r="P313" s="13">
        <v>46064</v>
      </c>
    </row>
    <row r="314" spans="1:16" x14ac:dyDescent="0.25">
      <c r="A314" s="10" t="s">
        <v>637</v>
      </c>
      <c r="B314" s="10" t="s">
        <v>311</v>
      </c>
      <c r="C314" s="10" t="s">
        <v>29</v>
      </c>
      <c r="D314" s="10" t="s">
        <v>312</v>
      </c>
      <c r="E314" s="10">
        <v>9820914808</v>
      </c>
      <c r="F314" s="12">
        <v>5.3626620370370368</v>
      </c>
      <c r="G314" s="10">
        <v>522.23</v>
      </c>
      <c r="H314" s="10">
        <v>1140.92</v>
      </c>
      <c r="I314" s="12">
        <v>84.29965277777778</v>
      </c>
      <c r="J314" s="10">
        <v>24</v>
      </c>
      <c r="K314" s="10">
        <v>13</v>
      </c>
      <c r="L314" s="10" t="s">
        <v>1042</v>
      </c>
      <c r="M314" s="10" t="s">
        <v>1043</v>
      </c>
      <c r="N314" s="10">
        <v>355</v>
      </c>
      <c r="O314" s="10" t="s">
        <v>1949</v>
      </c>
      <c r="P314" s="13">
        <v>46048</v>
      </c>
    </row>
    <row r="315" spans="1:16" x14ac:dyDescent="0.25">
      <c r="A315" s="10" t="s">
        <v>638</v>
      </c>
      <c r="B315" s="10" t="s">
        <v>311</v>
      </c>
      <c r="C315" s="10" t="s">
        <v>29</v>
      </c>
      <c r="D315" s="10" t="s">
        <v>312</v>
      </c>
      <c r="E315" s="10">
        <v>9820914808</v>
      </c>
      <c r="F315" s="12">
        <v>1.7505555555555556</v>
      </c>
      <c r="G315" s="10">
        <v>1080.8</v>
      </c>
      <c r="H315" s="10">
        <v>300.02999999999997</v>
      </c>
      <c r="I315" s="12">
        <v>84.29965277777778</v>
      </c>
      <c r="J315" s="10">
        <v>17</v>
      </c>
      <c r="K315" s="10">
        <v>6</v>
      </c>
      <c r="L315" s="10" t="s">
        <v>1168</v>
      </c>
      <c r="M315" s="10" t="s">
        <v>1169</v>
      </c>
      <c r="N315" s="10">
        <v>380</v>
      </c>
      <c r="O315" s="10" t="s">
        <v>1949</v>
      </c>
      <c r="P315" s="13">
        <v>46043</v>
      </c>
    </row>
    <row r="316" spans="1:16" x14ac:dyDescent="0.25">
      <c r="A316" s="10" t="s">
        <v>639</v>
      </c>
      <c r="B316" s="10" t="s">
        <v>311</v>
      </c>
      <c r="C316" s="10" t="s">
        <v>29</v>
      </c>
      <c r="D316" s="10" t="s">
        <v>312</v>
      </c>
      <c r="E316" s="10">
        <v>9820914808</v>
      </c>
      <c r="F316" s="12">
        <v>1.368113425925926</v>
      </c>
      <c r="G316" s="10">
        <v>530.08000000000004</v>
      </c>
      <c r="H316" s="10">
        <v>60.89</v>
      </c>
      <c r="I316" s="12">
        <v>84.29965277777778</v>
      </c>
      <c r="J316" s="10">
        <v>8</v>
      </c>
      <c r="K316" s="10">
        <v>1</v>
      </c>
      <c r="L316" s="10" t="s">
        <v>1427</v>
      </c>
      <c r="M316" s="10" t="s">
        <v>1428</v>
      </c>
      <c r="N316" s="10">
        <v>433</v>
      </c>
      <c r="O316" s="10" t="s">
        <v>1950</v>
      </c>
      <c r="P316" s="13">
        <v>45989</v>
      </c>
    </row>
    <row r="317" spans="1:16" x14ac:dyDescent="0.25">
      <c r="A317" s="10" t="s">
        <v>640</v>
      </c>
      <c r="B317" s="10" t="s">
        <v>311</v>
      </c>
      <c r="C317" s="10" t="s">
        <v>29</v>
      </c>
      <c r="D317" s="10" t="s">
        <v>312</v>
      </c>
      <c r="E317" s="10">
        <v>9820914808</v>
      </c>
      <c r="F317" s="12">
        <v>3.2481597222222223</v>
      </c>
      <c r="G317" s="10">
        <v>357.35</v>
      </c>
      <c r="H317" s="10">
        <v>544.29</v>
      </c>
      <c r="I317" s="12">
        <v>84.29965277777778</v>
      </c>
      <c r="J317" s="10">
        <v>18</v>
      </c>
      <c r="K317" s="10">
        <v>4</v>
      </c>
      <c r="L317" s="10" t="s">
        <v>1148</v>
      </c>
      <c r="M317" s="10" t="s">
        <v>1149</v>
      </c>
      <c r="N317" s="10">
        <v>458</v>
      </c>
      <c r="O317" s="10" t="s">
        <v>1949</v>
      </c>
      <c r="P317" s="13">
        <v>46153</v>
      </c>
    </row>
    <row r="318" spans="1:16" x14ac:dyDescent="0.25">
      <c r="A318" s="10" t="s">
        <v>641</v>
      </c>
      <c r="B318" s="10" t="s">
        <v>311</v>
      </c>
      <c r="C318" s="10" t="s">
        <v>29</v>
      </c>
      <c r="D318" s="10" t="s">
        <v>312</v>
      </c>
      <c r="E318" s="10">
        <v>9820914808</v>
      </c>
      <c r="F318" s="12">
        <v>1.9575</v>
      </c>
      <c r="G318" s="10">
        <v>1378.8</v>
      </c>
      <c r="H318" s="10">
        <v>452.73</v>
      </c>
      <c r="I318" s="12">
        <v>84.29965277777778</v>
      </c>
      <c r="J318" s="10">
        <v>12</v>
      </c>
      <c r="K318" s="10">
        <v>7</v>
      </c>
      <c r="L318" s="10" t="s">
        <v>1299</v>
      </c>
      <c r="M318" s="10" t="s">
        <v>1300</v>
      </c>
      <c r="N318" s="10">
        <v>420</v>
      </c>
      <c r="O318" s="10" t="s">
        <v>1949</v>
      </c>
      <c r="P318" s="13">
        <v>46129</v>
      </c>
    </row>
    <row r="319" spans="1:16" x14ac:dyDescent="0.25">
      <c r="A319" s="10" t="s">
        <v>642</v>
      </c>
      <c r="B319" s="10" t="s">
        <v>311</v>
      </c>
      <c r="C319" s="10" t="s">
        <v>29</v>
      </c>
      <c r="D319" s="10" t="s">
        <v>312</v>
      </c>
      <c r="E319" s="10">
        <v>9820914808</v>
      </c>
      <c r="F319" s="11">
        <v>0.10795138888888889</v>
      </c>
      <c r="G319" s="10">
        <v>155.44999999999999</v>
      </c>
      <c r="H319" s="10">
        <v>29.94</v>
      </c>
      <c r="I319" s="12">
        <v>84.29965277777778</v>
      </c>
      <c r="J319" s="10">
        <v>3</v>
      </c>
      <c r="K319" s="10">
        <v>0</v>
      </c>
      <c r="L319" s="10" t="s">
        <v>1711</v>
      </c>
      <c r="M319" s="10" t="s">
        <v>1712</v>
      </c>
      <c r="N319" s="10">
        <v>408</v>
      </c>
      <c r="O319" s="10" t="s">
        <v>1950</v>
      </c>
      <c r="P319" s="13">
        <v>46022</v>
      </c>
    </row>
    <row r="320" spans="1:16" x14ac:dyDescent="0.25">
      <c r="A320" s="10" t="s">
        <v>643</v>
      </c>
      <c r="B320" s="10" t="s">
        <v>311</v>
      </c>
      <c r="C320" s="10" t="s">
        <v>29</v>
      </c>
      <c r="D320" s="10" t="s">
        <v>312</v>
      </c>
      <c r="E320" s="10">
        <v>9820914808</v>
      </c>
      <c r="F320" s="12">
        <v>2.3233333333333333</v>
      </c>
      <c r="G320" s="10">
        <v>465.6</v>
      </c>
      <c r="H320" s="10">
        <v>723.02</v>
      </c>
      <c r="I320" s="12">
        <v>84.29965277777778</v>
      </c>
      <c r="J320" s="10">
        <v>24</v>
      </c>
      <c r="K320" s="10">
        <v>8</v>
      </c>
      <c r="L320" s="10" t="s">
        <v>1044</v>
      </c>
      <c r="M320" s="10" t="s">
        <v>1045</v>
      </c>
      <c r="N320" s="10">
        <v>494</v>
      </c>
      <c r="O320" s="10" t="s">
        <v>1949</v>
      </c>
      <c r="P320" s="13">
        <v>46029</v>
      </c>
    </row>
    <row r="321" spans="1:16" x14ac:dyDescent="0.25">
      <c r="A321" s="10" t="s">
        <v>644</v>
      </c>
      <c r="B321" s="10" t="s">
        <v>311</v>
      </c>
      <c r="C321" s="10" t="s">
        <v>29</v>
      </c>
      <c r="D321" s="10" t="s">
        <v>312</v>
      </c>
      <c r="E321" s="10">
        <v>9820914808</v>
      </c>
      <c r="F321" s="11">
        <v>1.1168981481481481E-2</v>
      </c>
      <c r="G321" s="10">
        <v>16.079999999999998</v>
      </c>
      <c r="H321" s="10">
        <v>7.0000000000000007E-2</v>
      </c>
      <c r="I321" s="12">
        <v>84.29965277777778</v>
      </c>
      <c r="J321" s="10">
        <v>2</v>
      </c>
      <c r="K321" s="10">
        <v>0</v>
      </c>
      <c r="L321" s="10" t="s">
        <v>1802</v>
      </c>
      <c r="M321" s="10" t="s">
        <v>1803</v>
      </c>
      <c r="N321" s="10">
        <v>405</v>
      </c>
      <c r="O321" s="10" t="s">
        <v>1950</v>
      </c>
      <c r="P321" s="13">
        <v>45849</v>
      </c>
    </row>
    <row r="322" spans="1:16" x14ac:dyDescent="0.25">
      <c r="A322" s="10" t="s">
        <v>645</v>
      </c>
      <c r="B322" s="10" t="s">
        <v>311</v>
      </c>
      <c r="C322" s="10" t="s">
        <v>90</v>
      </c>
      <c r="D322" s="10" t="s">
        <v>90</v>
      </c>
      <c r="E322" s="10">
        <v>9986541604</v>
      </c>
      <c r="F322" s="12">
        <v>1.6884953703703705</v>
      </c>
      <c r="G322" s="10">
        <v>991.43</v>
      </c>
      <c r="H322" s="10">
        <v>321.19</v>
      </c>
      <c r="I322" s="12">
        <v>84.375891203703702</v>
      </c>
      <c r="J322" s="10">
        <v>27</v>
      </c>
      <c r="K322" s="10">
        <v>5</v>
      </c>
      <c r="L322" s="10" t="s">
        <v>996</v>
      </c>
      <c r="M322" s="10" t="s">
        <v>997</v>
      </c>
      <c r="N322" s="10">
        <v>13</v>
      </c>
      <c r="O322" s="10" t="s">
        <v>1949</v>
      </c>
      <c r="P322" s="13">
        <v>46056</v>
      </c>
    </row>
    <row r="323" spans="1:16" x14ac:dyDescent="0.25">
      <c r="A323" s="10" t="s">
        <v>646</v>
      </c>
      <c r="B323" s="10" t="s">
        <v>311</v>
      </c>
      <c r="C323" s="10" t="s">
        <v>125</v>
      </c>
      <c r="D323" s="10" t="s">
        <v>551</v>
      </c>
      <c r="E323" s="10">
        <v>9428102150</v>
      </c>
      <c r="F323" s="12">
        <v>11.969467592592592</v>
      </c>
      <c r="G323" s="10">
        <v>1396.03</v>
      </c>
      <c r="H323" s="10">
        <v>3437.01</v>
      </c>
      <c r="I323" s="12">
        <v>84.380798611111118</v>
      </c>
      <c r="J323" s="10">
        <v>13</v>
      </c>
      <c r="K323" s="10">
        <v>4</v>
      </c>
      <c r="L323" s="10" t="s">
        <v>1279</v>
      </c>
      <c r="M323" s="10" t="s">
        <v>1280</v>
      </c>
      <c r="N323" s="10">
        <v>-197</v>
      </c>
      <c r="O323" s="10" t="s">
        <v>1949</v>
      </c>
      <c r="P323" s="13">
        <v>46147</v>
      </c>
    </row>
    <row r="324" spans="1:16" x14ac:dyDescent="0.25">
      <c r="A324" s="10" t="s">
        <v>647</v>
      </c>
      <c r="B324" s="10" t="s">
        <v>311</v>
      </c>
      <c r="C324" s="10" t="s">
        <v>125</v>
      </c>
      <c r="D324" s="10" t="s">
        <v>551</v>
      </c>
      <c r="E324" s="10">
        <v>9428102150</v>
      </c>
      <c r="F324" s="12">
        <v>2.0681944444444444</v>
      </c>
      <c r="G324" s="10">
        <v>98.2</v>
      </c>
      <c r="H324" s="10">
        <v>217.83</v>
      </c>
      <c r="I324" s="12">
        <v>84.380798611111118</v>
      </c>
      <c r="J324" s="10">
        <v>4</v>
      </c>
      <c r="K324" s="10">
        <v>1</v>
      </c>
      <c r="L324" s="10" t="s">
        <v>1622</v>
      </c>
      <c r="M324" s="10" t="s">
        <v>1623</v>
      </c>
      <c r="N324" s="10">
        <v>22</v>
      </c>
      <c r="O324" s="10" t="s">
        <v>1949</v>
      </c>
      <c r="P324" s="13">
        <v>46016</v>
      </c>
    </row>
    <row r="325" spans="1:16" x14ac:dyDescent="0.25">
      <c r="A325" s="10" t="s">
        <v>648</v>
      </c>
      <c r="B325" s="10" t="s">
        <v>311</v>
      </c>
      <c r="C325" s="10" t="s">
        <v>125</v>
      </c>
      <c r="D325" s="10" t="s">
        <v>551</v>
      </c>
      <c r="E325" s="10">
        <v>9428102150</v>
      </c>
      <c r="F325" s="12">
        <v>2.540486111111111</v>
      </c>
      <c r="G325" s="10">
        <v>778.3</v>
      </c>
      <c r="H325" s="10">
        <v>547.16</v>
      </c>
      <c r="I325" s="12">
        <v>84.380798611111118</v>
      </c>
      <c r="J325" s="10"/>
      <c r="K325" s="10"/>
      <c r="L325" s="10"/>
      <c r="M325" s="10"/>
      <c r="N325" s="10"/>
      <c r="O325" s="10" t="s">
        <v>1950</v>
      </c>
      <c r="P325" s="13">
        <v>46012</v>
      </c>
    </row>
    <row r="326" spans="1:16" x14ac:dyDescent="0.25">
      <c r="A326" s="10" t="s">
        <v>649</v>
      </c>
      <c r="B326" s="10" t="s">
        <v>311</v>
      </c>
      <c r="C326" s="10" t="s">
        <v>29</v>
      </c>
      <c r="D326" s="10" t="s">
        <v>312</v>
      </c>
      <c r="E326" s="10">
        <v>9820914808</v>
      </c>
      <c r="F326" s="11">
        <v>0.6968981481481481</v>
      </c>
      <c r="G326" s="10">
        <v>1003.53</v>
      </c>
      <c r="H326" s="10">
        <v>137.41</v>
      </c>
      <c r="I326" s="12">
        <v>84.29965277777778</v>
      </c>
      <c r="J326" s="10">
        <v>2</v>
      </c>
      <c r="K326" s="10">
        <v>0</v>
      </c>
      <c r="L326" s="10" t="s">
        <v>1827</v>
      </c>
      <c r="M326" s="10" t="s">
        <v>1828</v>
      </c>
      <c r="N326" s="10">
        <v>754</v>
      </c>
      <c r="O326" s="10" t="s">
        <v>1950</v>
      </c>
      <c r="P326" s="13">
        <v>46154</v>
      </c>
    </row>
    <row r="327" spans="1:16" x14ac:dyDescent="0.25">
      <c r="A327" s="10" t="s">
        <v>650</v>
      </c>
      <c r="B327" s="10" t="s">
        <v>311</v>
      </c>
      <c r="C327" s="10" t="s">
        <v>29</v>
      </c>
      <c r="D327" s="10" t="s">
        <v>312</v>
      </c>
      <c r="E327" s="10">
        <v>9820914808</v>
      </c>
      <c r="F327" s="12">
        <v>9.4154513888888882</v>
      </c>
      <c r="G327" s="10">
        <v>598.25</v>
      </c>
      <c r="H327" s="10">
        <v>3255.64</v>
      </c>
      <c r="I327" s="12">
        <v>84.29965277777778</v>
      </c>
      <c r="J327" s="10">
        <v>25</v>
      </c>
      <c r="K327" s="10">
        <v>11</v>
      </c>
      <c r="L327" s="10" t="s">
        <v>1028</v>
      </c>
      <c r="M327" s="10" t="s">
        <v>1029</v>
      </c>
      <c r="N327" s="10">
        <v>460</v>
      </c>
      <c r="O327" s="10" t="s">
        <v>1949</v>
      </c>
      <c r="P327" s="13">
        <v>46110</v>
      </c>
    </row>
    <row r="328" spans="1:16" x14ac:dyDescent="0.25">
      <c r="A328" s="10" t="s">
        <v>651</v>
      </c>
      <c r="B328" s="10" t="s">
        <v>311</v>
      </c>
      <c r="C328" s="10" t="s">
        <v>93</v>
      </c>
      <c r="D328" s="10" t="s">
        <v>93</v>
      </c>
      <c r="E328" s="10">
        <v>9509667166</v>
      </c>
      <c r="F328" s="11">
        <v>0.60423611111111108</v>
      </c>
      <c r="G328" s="10">
        <v>870.1</v>
      </c>
      <c r="H328" s="10">
        <v>136.75</v>
      </c>
      <c r="I328" s="12">
        <v>84.376539351851847</v>
      </c>
      <c r="J328" s="10">
        <v>5</v>
      </c>
      <c r="K328" s="10">
        <v>2</v>
      </c>
      <c r="L328" s="10" t="s">
        <v>1569</v>
      </c>
      <c r="M328" s="10" t="s">
        <v>1570</v>
      </c>
      <c r="N328" s="10">
        <v>0</v>
      </c>
      <c r="O328" s="10" t="s">
        <v>1950</v>
      </c>
      <c r="P328" s="13">
        <v>45898</v>
      </c>
    </row>
    <row r="329" spans="1:16" x14ac:dyDescent="0.25">
      <c r="A329" s="10" t="s">
        <v>652</v>
      </c>
      <c r="B329" s="10" t="s">
        <v>311</v>
      </c>
      <c r="C329" s="10" t="s">
        <v>29</v>
      </c>
      <c r="D329" s="10" t="s">
        <v>312</v>
      </c>
      <c r="E329" s="10">
        <v>9820914808</v>
      </c>
      <c r="F329" s="12">
        <v>5.4772453703703707</v>
      </c>
      <c r="G329" s="10">
        <v>687.23</v>
      </c>
      <c r="H329" s="10">
        <v>1342.53</v>
      </c>
      <c r="I329" s="12">
        <v>84.29965277777778</v>
      </c>
      <c r="J329" s="10">
        <v>35</v>
      </c>
      <c r="K329" s="10">
        <v>4</v>
      </c>
      <c r="L329" s="10" t="s">
        <v>896</v>
      </c>
      <c r="M329" s="10" t="s">
        <v>897</v>
      </c>
      <c r="N329" s="10">
        <v>505</v>
      </c>
      <c r="O329" s="10" t="s">
        <v>1949</v>
      </c>
      <c r="P329" s="13">
        <v>46153</v>
      </c>
    </row>
    <row r="330" spans="1:16" x14ac:dyDescent="0.25">
      <c r="A330" s="10" t="s">
        <v>653</v>
      </c>
      <c r="B330" s="10" t="s">
        <v>311</v>
      </c>
      <c r="C330" s="10" t="s">
        <v>125</v>
      </c>
      <c r="D330" s="10" t="s">
        <v>551</v>
      </c>
      <c r="E330" s="10">
        <v>9428102150</v>
      </c>
      <c r="F330" s="11">
        <v>0.53128472222222223</v>
      </c>
      <c r="G330" s="10">
        <v>765.05</v>
      </c>
      <c r="H330" s="10">
        <v>76.510000000000005</v>
      </c>
      <c r="I330" s="12">
        <v>84.380798611111118</v>
      </c>
      <c r="J330" s="10"/>
      <c r="K330" s="10"/>
      <c r="L330" s="10"/>
      <c r="M330" s="10"/>
      <c r="N330" s="10"/>
      <c r="O330" s="10" t="s">
        <v>1950</v>
      </c>
      <c r="P330" s="13">
        <v>46145</v>
      </c>
    </row>
    <row r="331" spans="1:16" x14ac:dyDescent="0.25">
      <c r="A331" s="10" t="s">
        <v>654</v>
      </c>
      <c r="B331" s="10" t="s">
        <v>311</v>
      </c>
      <c r="C331" s="10" t="s">
        <v>125</v>
      </c>
      <c r="D331" s="10" t="s">
        <v>551</v>
      </c>
      <c r="E331" s="10">
        <v>9428102150</v>
      </c>
      <c r="F331" s="12">
        <v>2.7602893518518519</v>
      </c>
      <c r="G331" s="10">
        <v>1094.82</v>
      </c>
      <c r="H331" s="10">
        <v>786.89</v>
      </c>
      <c r="I331" s="12">
        <v>84.380798611111118</v>
      </c>
      <c r="J331" s="10">
        <v>5</v>
      </c>
      <c r="K331" s="10">
        <v>1</v>
      </c>
      <c r="L331" s="10" t="s">
        <v>1578</v>
      </c>
      <c r="M331" s="10" t="s">
        <v>1579</v>
      </c>
      <c r="N331" s="10">
        <v>-30</v>
      </c>
      <c r="O331" s="10" t="s">
        <v>1950</v>
      </c>
      <c r="P331" s="13">
        <v>46021</v>
      </c>
    </row>
    <row r="332" spans="1:16" x14ac:dyDescent="0.25">
      <c r="A332" s="10" t="s">
        <v>655</v>
      </c>
      <c r="B332" s="10" t="s">
        <v>311</v>
      </c>
      <c r="C332" s="10" t="s">
        <v>125</v>
      </c>
      <c r="D332" s="10" t="s">
        <v>551</v>
      </c>
      <c r="E332" s="10">
        <v>9428102150</v>
      </c>
      <c r="F332" s="11">
        <v>0.17806712962962962</v>
      </c>
      <c r="G332" s="10">
        <v>256.42</v>
      </c>
      <c r="H332" s="10">
        <v>28.88</v>
      </c>
      <c r="I332" s="12">
        <v>84.380798611111118</v>
      </c>
      <c r="J332" s="10">
        <v>2</v>
      </c>
      <c r="K332" s="10">
        <v>0</v>
      </c>
      <c r="L332" s="10" t="s">
        <v>1809</v>
      </c>
      <c r="M332" s="10" t="s">
        <v>1810</v>
      </c>
      <c r="N332" s="10">
        <v>-177</v>
      </c>
      <c r="O332" s="10" t="s">
        <v>1950</v>
      </c>
      <c r="P332" s="13">
        <v>45913</v>
      </c>
    </row>
    <row r="333" spans="1:16" x14ac:dyDescent="0.25">
      <c r="A333" s="10" t="s">
        <v>656</v>
      </c>
      <c r="B333" s="10" t="s">
        <v>311</v>
      </c>
      <c r="C333" s="10" t="s">
        <v>125</v>
      </c>
      <c r="D333" s="10" t="s">
        <v>551</v>
      </c>
      <c r="E333" s="10">
        <v>9428102150</v>
      </c>
      <c r="F333" s="11">
        <v>1.0659722222222221E-2</v>
      </c>
      <c r="G333" s="10">
        <v>15.35</v>
      </c>
      <c r="H333" s="10">
        <v>0</v>
      </c>
      <c r="I333" s="12">
        <v>84.380798611111118</v>
      </c>
      <c r="J333" s="10">
        <v>1</v>
      </c>
      <c r="K333" s="10">
        <v>0</v>
      </c>
      <c r="L333" s="10" t="s">
        <v>1940</v>
      </c>
      <c r="M333" s="10" t="s">
        <v>1940</v>
      </c>
      <c r="N333" s="10">
        <v>39</v>
      </c>
      <c r="O333" s="10" t="s">
        <v>1950</v>
      </c>
      <c r="P333" s="13">
        <v>45927</v>
      </c>
    </row>
    <row r="334" spans="1:16" x14ac:dyDescent="0.25">
      <c r="A334" s="10" t="s">
        <v>657</v>
      </c>
      <c r="B334" s="10" t="s">
        <v>311</v>
      </c>
      <c r="C334" s="10" t="s">
        <v>127</v>
      </c>
      <c r="D334" s="10" t="s">
        <v>658</v>
      </c>
      <c r="E334" s="10">
        <v>9994032291</v>
      </c>
      <c r="F334" s="11">
        <v>0.91613425925925929</v>
      </c>
      <c r="G334" s="10">
        <v>1319.23</v>
      </c>
      <c r="H334" s="10">
        <v>141.32</v>
      </c>
      <c r="I334" s="12">
        <v>84.380879629629632</v>
      </c>
      <c r="J334" s="10">
        <v>3</v>
      </c>
      <c r="K334" s="10">
        <v>2</v>
      </c>
      <c r="L334" s="10" t="s">
        <v>1726</v>
      </c>
      <c r="M334" s="10" t="s">
        <v>1727</v>
      </c>
      <c r="N334" s="10">
        <v>85</v>
      </c>
      <c r="O334" s="10" t="s">
        <v>1950</v>
      </c>
      <c r="P334" s="13">
        <v>46083</v>
      </c>
    </row>
    <row r="335" spans="1:16" x14ac:dyDescent="0.25">
      <c r="A335" s="10" t="s">
        <v>659</v>
      </c>
      <c r="B335" s="10" t="s">
        <v>311</v>
      </c>
      <c r="C335" s="10" t="s">
        <v>29</v>
      </c>
      <c r="D335" s="10" t="s">
        <v>312</v>
      </c>
      <c r="E335" s="10">
        <v>9820914808</v>
      </c>
      <c r="F335" s="11">
        <v>0.57284722222222217</v>
      </c>
      <c r="G335" s="10">
        <v>824.9</v>
      </c>
      <c r="H335" s="10">
        <v>4.2699999999999996</v>
      </c>
      <c r="I335" s="12">
        <v>84.29965277777778</v>
      </c>
      <c r="J335" s="10">
        <v>6</v>
      </c>
      <c r="K335" s="10">
        <v>1</v>
      </c>
      <c r="L335" s="10" t="s">
        <v>1517</v>
      </c>
      <c r="M335" s="10" t="s">
        <v>1518</v>
      </c>
      <c r="N335" s="10">
        <v>548</v>
      </c>
      <c r="O335" s="10" t="s">
        <v>1949</v>
      </c>
      <c r="P335" s="13">
        <v>46140</v>
      </c>
    </row>
    <row r="336" spans="1:16" x14ac:dyDescent="0.25">
      <c r="A336" s="10" t="s">
        <v>660</v>
      </c>
      <c r="B336" s="10" t="s">
        <v>311</v>
      </c>
      <c r="C336" s="10" t="s">
        <v>29</v>
      </c>
      <c r="D336" s="10" t="s">
        <v>312</v>
      </c>
      <c r="E336" s="10">
        <v>9820914808</v>
      </c>
      <c r="F336" s="11">
        <v>0.2087037037037037</v>
      </c>
      <c r="G336" s="10">
        <v>300.52999999999997</v>
      </c>
      <c r="H336" s="10">
        <v>34.159999999999997</v>
      </c>
      <c r="I336" s="12">
        <v>84.29965277777778</v>
      </c>
      <c r="J336" s="10">
        <v>4</v>
      </c>
      <c r="K336" s="10">
        <v>0</v>
      </c>
      <c r="L336" s="10" t="s">
        <v>1612</v>
      </c>
      <c r="M336" s="10" t="s">
        <v>1613</v>
      </c>
      <c r="N336" s="10">
        <v>579</v>
      </c>
      <c r="O336" s="10" t="s">
        <v>1950</v>
      </c>
      <c r="P336" s="13">
        <v>46033</v>
      </c>
    </row>
    <row r="337" spans="1:16" x14ac:dyDescent="0.25">
      <c r="A337" s="10" t="s">
        <v>661</v>
      </c>
      <c r="B337" s="10" t="s">
        <v>311</v>
      </c>
      <c r="C337" s="10" t="s">
        <v>29</v>
      </c>
      <c r="D337" s="10" t="s">
        <v>312</v>
      </c>
      <c r="E337" s="10">
        <v>9820914808</v>
      </c>
      <c r="F337" s="12">
        <v>1.0728009259259259</v>
      </c>
      <c r="G337" s="10">
        <v>104.83</v>
      </c>
      <c r="H337" s="10">
        <v>106.99</v>
      </c>
      <c r="I337" s="12">
        <v>84.29965277777778</v>
      </c>
      <c r="J337" s="10">
        <v>6</v>
      </c>
      <c r="K337" s="10">
        <v>1</v>
      </c>
      <c r="L337" s="10" t="s">
        <v>1519</v>
      </c>
      <c r="M337" s="10" t="s">
        <v>1520</v>
      </c>
      <c r="N337" s="10">
        <v>593</v>
      </c>
      <c r="O337" s="10" t="s">
        <v>1950</v>
      </c>
      <c r="P337" s="13">
        <v>46024</v>
      </c>
    </row>
    <row r="338" spans="1:16" x14ac:dyDescent="0.25">
      <c r="A338" s="10" t="s">
        <v>662</v>
      </c>
      <c r="B338" s="10" t="s">
        <v>311</v>
      </c>
      <c r="C338" s="10" t="s">
        <v>29</v>
      </c>
      <c r="D338" s="10" t="s">
        <v>312</v>
      </c>
      <c r="E338" s="10">
        <v>9820914808</v>
      </c>
      <c r="F338" s="12">
        <v>3.0275115740740741</v>
      </c>
      <c r="G338" s="10">
        <v>39.619999999999997</v>
      </c>
      <c r="H338" s="10">
        <v>293.08999999999997</v>
      </c>
      <c r="I338" s="12">
        <v>84.29965277777778</v>
      </c>
      <c r="J338" s="10">
        <v>6</v>
      </c>
      <c r="K338" s="10">
        <v>2</v>
      </c>
      <c r="L338" s="10" t="s">
        <v>1515</v>
      </c>
      <c r="M338" s="10" t="s">
        <v>1516</v>
      </c>
      <c r="N338" s="10">
        <v>476</v>
      </c>
      <c r="O338" s="10" t="s">
        <v>1950</v>
      </c>
      <c r="P338" s="13">
        <v>46154</v>
      </c>
    </row>
    <row r="339" spans="1:16" x14ac:dyDescent="0.25">
      <c r="A339" s="10" t="s">
        <v>663</v>
      </c>
      <c r="B339" s="10" t="s">
        <v>311</v>
      </c>
      <c r="C339" s="10" t="s">
        <v>29</v>
      </c>
      <c r="D339" s="10" t="s">
        <v>312</v>
      </c>
      <c r="E339" s="10">
        <v>9820914808</v>
      </c>
      <c r="F339" s="11">
        <v>0.81399305555555557</v>
      </c>
      <c r="G339" s="10">
        <v>1172.1500000000001</v>
      </c>
      <c r="H339" s="10">
        <v>16.54</v>
      </c>
      <c r="I339" s="12">
        <v>84.29965277777778</v>
      </c>
      <c r="J339" s="10">
        <v>3</v>
      </c>
      <c r="K339" s="10">
        <v>1</v>
      </c>
      <c r="L339" s="10" t="s">
        <v>1717</v>
      </c>
      <c r="M339" s="10" t="s">
        <v>1718</v>
      </c>
      <c r="N339" s="10">
        <v>575</v>
      </c>
      <c r="O339" s="10" t="s">
        <v>1949</v>
      </c>
      <c r="P339" s="13">
        <v>46043</v>
      </c>
    </row>
    <row r="340" spans="1:16" x14ac:dyDescent="0.25">
      <c r="A340" s="10" t="s">
        <v>664</v>
      </c>
      <c r="B340" s="10" t="s">
        <v>311</v>
      </c>
      <c r="C340" s="10" t="s">
        <v>29</v>
      </c>
      <c r="D340" s="10" t="s">
        <v>312</v>
      </c>
      <c r="E340" s="10">
        <v>9820914808</v>
      </c>
      <c r="F340" s="12">
        <v>1.1260300925925926</v>
      </c>
      <c r="G340" s="10">
        <v>181.48</v>
      </c>
      <c r="H340" s="10">
        <v>176.67</v>
      </c>
      <c r="I340" s="12">
        <v>84.29965277777778</v>
      </c>
      <c r="J340" s="10">
        <v>2</v>
      </c>
      <c r="K340" s="10">
        <v>0</v>
      </c>
      <c r="L340" s="10" t="s">
        <v>1819</v>
      </c>
      <c r="M340" s="10" t="s">
        <v>1820</v>
      </c>
      <c r="N340" s="10">
        <v>562</v>
      </c>
      <c r="O340" s="10" t="s">
        <v>1950</v>
      </c>
      <c r="P340" s="13">
        <v>46149</v>
      </c>
    </row>
    <row r="341" spans="1:16" x14ac:dyDescent="0.25">
      <c r="A341" s="10" t="s">
        <v>665</v>
      </c>
      <c r="B341" s="10" t="s">
        <v>311</v>
      </c>
      <c r="C341" s="10" t="s">
        <v>29</v>
      </c>
      <c r="D341" s="10" t="s">
        <v>312</v>
      </c>
      <c r="E341" s="10">
        <v>9820914808</v>
      </c>
      <c r="F341" s="12">
        <v>6.8464467592592593</v>
      </c>
      <c r="G341" s="10">
        <v>1218.8800000000001</v>
      </c>
      <c r="H341" s="10">
        <v>2159.9499999999998</v>
      </c>
      <c r="I341" s="12">
        <v>84.29965277777778</v>
      </c>
      <c r="J341" s="10">
        <v>23</v>
      </c>
      <c r="K341" s="10">
        <v>3</v>
      </c>
      <c r="L341" s="10" t="s">
        <v>1060</v>
      </c>
      <c r="M341" s="10" t="s">
        <v>1061</v>
      </c>
      <c r="N341" s="10">
        <v>569</v>
      </c>
      <c r="O341" s="10" t="s">
        <v>1949</v>
      </c>
      <c r="P341" s="13">
        <v>46073</v>
      </c>
    </row>
    <row r="342" spans="1:16" x14ac:dyDescent="0.25">
      <c r="A342" s="10" t="s">
        <v>666</v>
      </c>
      <c r="B342" s="10" t="s">
        <v>311</v>
      </c>
      <c r="C342" s="10" t="s">
        <v>29</v>
      </c>
      <c r="D342" s="10" t="s">
        <v>312</v>
      </c>
      <c r="E342" s="10">
        <v>9820914808</v>
      </c>
      <c r="F342" s="11">
        <v>6.7303240740740747E-2</v>
      </c>
      <c r="G342" s="10">
        <v>96.92</v>
      </c>
      <c r="H342" s="10">
        <v>4.93</v>
      </c>
      <c r="I342" s="12">
        <v>84.29965277777778</v>
      </c>
      <c r="J342" s="10">
        <v>1</v>
      </c>
      <c r="K342" s="10">
        <v>0</v>
      </c>
      <c r="L342" s="10" t="s">
        <v>1941</v>
      </c>
      <c r="M342" s="10" t="s">
        <v>1941</v>
      </c>
      <c r="N342" s="10">
        <v>740</v>
      </c>
      <c r="O342" s="10" t="s">
        <v>1950</v>
      </c>
      <c r="P342" s="13">
        <v>46125</v>
      </c>
    </row>
    <row r="343" spans="1:16" x14ac:dyDescent="0.25">
      <c r="A343" s="10" t="s">
        <v>667</v>
      </c>
      <c r="B343" s="10" t="s">
        <v>311</v>
      </c>
      <c r="C343" s="10" t="s">
        <v>125</v>
      </c>
      <c r="D343" s="10" t="s">
        <v>551</v>
      </c>
      <c r="E343" s="10">
        <v>9428102150</v>
      </c>
      <c r="F343" s="10" t="s">
        <v>309</v>
      </c>
      <c r="G343" s="10"/>
      <c r="H343" s="10">
        <v>0</v>
      </c>
      <c r="I343" s="12">
        <v>84.380798611111118</v>
      </c>
      <c r="J343" s="10"/>
      <c r="K343" s="10"/>
      <c r="L343" s="10"/>
      <c r="M343" s="10"/>
      <c r="N343" s="10"/>
      <c r="O343" s="10" t="s">
        <v>1950</v>
      </c>
      <c r="P343" s="10"/>
    </row>
    <row r="344" spans="1:16" x14ac:dyDescent="0.25">
      <c r="A344" s="10" t="s">
        <v>668</v>
      </c>
      <c r="B344" s="10" t="s">
        <v>311</v>
      </c>
      <c r="C344" s="10" t="s">
        <v>125</v>
      </c>
      <c r="D344" s="10" t="s">
        <v>551</v>
      </c>
      <c r="E344" s="10">
        <v>9428102150</v>
      </c>
      <c r="F344" s="11">
        <v>0.84937499999999999</v>
      </c>
      <c r="G344" s="10">
        <v>1223.0999999999999</v>
      </c>
      <c r="H344" s="10">
        <v>163.85</v>
      </c>
      <c r="I344" s="12">
        <v>84.380798611111118</v>
      </c>
      <c r="J344" s="10">
        <v>1</v>
      </c>
      <c r="K344" s="10">
        <v>0</v>
      </c>
      <c r="L344" s="10" t="s">
        <v>1939</v>
      </c>
      <c r="M344" s="10" t="s">
        <v>1939</v>
      </c>
      <c r="N344" s="10">
        <v>11</v>
      </c>
      <c r="O344" s="10" t="s">
        <v>1950</v>
      </c>
      <c r="P344" s="13">
        <v>46036</v>
      </c>
    </row>
    <row r="345" spans="1:16" x14ac:dyDescent="0.25">
      <c r="A345" s="10" t="s">
        <v>669</v>
      </c>
      <c r="B345" s="10" t="s">
        <v>311</v>
      </c>
      <c r="C345" s="10" t="s">
        <v>125</v>
      </c>
      <c r="D345" s="10" t="s">
        <v>551</v>
      </c>
      <c r="E345" s="10">
        <v>9428102150</v>
      </c>
      <c r="F345" s="12">
        <v>5.1670254629629628</v>
      </c>
      <c r="G345" s="10">
        <v>240.52</v>
      </c>
      <c r="H345" s="10">
        <v>1128.01</v>
      </c>
      <c r="I345" s="12">
        <v>84.380798611111118</v>
      </c>
      <c r="J345" s="10">
        <v>16</v>
      </c>
      <c r="K345" s="10">
        <v>3</v>
      </c>
      <c r="L345" s="10" t="s">
        <v>1196</v>
      </c>
      <c r="M345" s="10" t="s">
        <v>1197</v>
      </c>
      <c r="N345" s="10">
        <v>-47</v>
      </c>
      <c r="O345" s="10" t="s">
        <v>1950</v>
      </c>
      <c r="P345" s="13">
        <v>46055</v>
      </c>
    </row>
    <row r="346" spans="1:16" x14ac:dyDescent="0.25">
      <c r="A346" s="10" t="s">
        <v>670</v>
      </c>
      <c r="B346" s="10" t="s">
        <v>671</v>
      </c>
      <c r="C346" s="10" t="s">
        <v>76</v>
      </c>
      <c r="D346" s="10" t="s">
        <v>672</v>
      </c>
      <c r="E346" s="10">
        <v>9717517538</v>
      </c>
      <c r="F346" s="11">
        <v>0.52452546296296299</v>
      </c>
      <c r="G346" s="10">
        <v>755.32</v>
      </c>
      <c r="H346" s="10">
        <v>119.45</v>
      </c>
      <c r="I346" s="12">
        <v>84.339074074074077</v>
      </c>
      <c r="J346" s="10">
        <v>2</v>
      </c>
      <c r="K346" s="10">
        <v>1</v>
      </c>
      <c r="L346" s="10" t="s">
        <v>1823</v>
      </c>
      <c r="M346" s="10" t="s">
        <v>1824</v>
      </c>
      <c r="N346" s="10">
        <v>389</v>
      </c>
      <c r="O346" s="10" t="s">
        <v>1949</v>
      </c>
      <c r="P346" s="13">
        <v>45909</v>
      </c>
    </row>
    <row r="347" spans="1:16" x14ac:dyDescent="0.25">
      <c r="A347" s="10" t="s">
        <v>673</v>
      </c>
      <c r="B347" s="10" t="s">
        <v>671</v>
      </c>
      <c r="C347" s="10" t="s">
        <v>76</v>
      </c>
      <c r="D347" s="10" t="s">
        <v>672</v>
      </c>
      <c r="E347" s="10">
        <v>9717517538</v>
      </c>
      <c r="F347" s="11">
        <v>0.78909722222222223</v>
      </c>
      <c r="G347" s="10">
        <v>1136.3</v>
      </c>
      <c r="H347" s="10">
        <v>191.08</v>
      </c>
      <c r="I347" s="12">
        <v>84.339074074074077</v>
      </c>
      <c r="J347" s="10">
        <v>4</v>
      </c>
      <c r="K347" s="10">
        <v>1</v>
      </c>
      <c r="L347" s="10" t="s">
        <v>1616</v>
      </c>
      <c r="M347" s="10" t="s">
        <v>1617</v>
      </c>
      <c r="N347" s="10">
        <v>365</v>
      </c>
      <c r="O347" s="10" t="s">
        <v>1949</v>
      </c>
      <c r="P347" s="13">
        <v>45918</v>
      </c>
    </row>
    <row r="348" spans="1:16" x14ac:dyDescent="0.25">
      <c r="A348" s="10" t="s">
        <v>674</v>
      </c>
      <c r="B348" s="10" t="s">
        <v>671</v>
      </c>
      <c r="C348" s="10" t="s">
        <v>131</v>
      </c>
      <c r="D348" s="10" t="s">
        <v>675</v>
      </c>
      <c r="E348" s="10">
        <v>8630469173</v>
      </c>
      <c r="F348" s="12">
        <v>3.4133680555555554</v>
      </c>
      <c r="G348" s="10">
        <v>595.25</v>
      </c>
      <c r="H348" s="10">
        <v>1124.8900000000001</v>
      </c>
      <c r="I348" s="12">
        <v>84.381435185185182</v>
      </c>
      <c r="J348" s="10">
        <v>17</v>
      </c>
      <c r="K348" s="10">
        <v>2</v>
      </c>
      <c r="L348" s="10" t="s">
        <v>1172</v>
      </c>
      <c r="M348" s="10" t="s">
        <v>1173</v>
      </c>
      <c r="N348" s="10">
        <v>-110</v>
      </c>
      <c r="O348" s="10" t="s">
        <v>1950</v>
      </c>
      <c r="P348" s="13">
        <v>46117</v>
      </c>
    </row>
    <row r="349" spans="1:16" x14ac:dyDescent="0.25">
      <c r="A349" s="10" t="s">
        <v>676</v>
      </c>
      <c r="B349" s="10" t="s">
        <v>671</v>
      </c>
      <c r="C349" s="10" t="s">
        <v>133</v>
      </c>
      <c r="D349" s="10" t="s">
        <v>133</v>
      </c>
      <c r="E349" s="10">
        <v>9457424486</v>
      </c>
      <c r="F349" s="11">
        <v>0.16666666666666666</v>
      </c>
      <c r="G349" s="10">
        <v>240</v>
      </c>
      <c r="H349" s="10">
        <v>29.3</v>
      </c>
      <c r="I349" s="12">
        <v>84.381435185185182</v>
      </c>
      <c r="J349" s="10"/>
      <c r="K349" s="10"/>
      <c r="L349" s="10"/>
      <c r="M349" s="10"/>
      <c r="N349" s="10"/>
      <c r="O349" s="10" t="s">
        <v>1950</v>
      </c>
      <c r="P349" s="13">
        <v>46037</v>
      </c>
    </row>
    <row r="350" spans="1:16" x14ac:dyDescent="0.25">
      <c r="A350" s="10" t="s">
        <v>677</v>
      </c>
      <c r="B350" s="10" t="s">
        <v>671</v>
      </c>
      <c r="C350" s="10" t="s">
        <v>123</v>
      </c>
      <c r="D350" s="10" t="s">
        <v>283</v>
      </c>
      <c r="E350" s="10">
        <v>7017231604</v>
      </c>
      <c r="F350" s="11">
        <v>0.84415509259259258</v>
      </c>
      <c r="G350" s="10">
        <v>1215.58</v>
      </c>
      <c r="H350" s="10">
        <v>210.04</v>
      </c>
      <c r="I350" s="12">
        <v>84.380775462962958</v>
      </c>
      <c r="J350" s="10">
        <v>5</v>
      </c>
      <c r="K350" s="10">
        <v>1</v>
      </c>
      <c r="L350" s="10" t="s">
        <v>1576</v>
      </c>
      <c r="M350" s="10" t="s">
        <v>1577</v>
      </c>
      <c r="N350" s="10">
        <v>-81</v>
      </c>
      <c r="O350" s="10" t="s">
        <v>1949</v>
      </c>
      <c r="P350" s="13">
        <v>46153</v>
      </c>
    </row>
    <row r="351" spans="1:16" x14ac:dyDescent="0.25">
      <c r="A351" s="10" t="s">
        <v>678</v>
      </c>
      <c r="B351" s="10" t="s">
        <v>671</v>
      </c>
      <c r="C351" s="10" t="s">
        <v>125</v>
      </c>
      <c r="D351" s="10" t="s">
        <v>551</v>
      </c>
      <c r="E351" s="10">
        <v>9428102150</v>
      </c>
      <c r="F351" s="12">
        <v>2.7053472222222221</v>
      </c>
      <c r="G351" s="10">
        <v>1015.7</v>
      </c>
      <c r="H351" s="10">
        <v>630.16999999999996</v>
      </c>
      <c r="I351" s="12">
        <v>84.380798611111118</v>
      </c>
      <c r="J351" s="10">
        <v>4</v>
      </c>
      <c r="K351" s="10">
        <v>1</v>
      </c>
      <c r="L351" s="10" t="s">
        <v>1624</v>
      </c>
      <c r="M351" s="10" t="s">
        <v>1625</v>
      </c>
      <c r="N351" s="10">
        <v>43</v>
      </c>
      <c r="O351" s="10" t="s">
        <v>1950</v>
      </c>
      <c r="P351" s="13">
        <v>46046</v>
      </c>
    </row>
    <row r="352" spans="1:16" x14ac:dyDescent="0.25">
      <c r="A352" s="10" t="s">
        <v>679</v>
      </c>
      <c r="B352" s="10" t="s">
        <v>671</v>
      </c>
      <c r="C352" s="10" t="s">
        <v>125</v>
      </c>
      <c r="D352" s="10" t="s">
        <v>551</v>
      </c>
      <c r="E352" s="10">
        <v>9428102150</v>
      </c>
      <c r="F352" s="12">
        <v>5.8547685185185188</v>
      </c>
      <c r="G352" s="10">
        <v>1230.8699999999999</v>
      </c>
      <c r="H352" s="10">
        <v>1861.56</v>
      </c>
      <c r="I352" s="12">
        <v>84.380798611111118</v>
      </c>
      <c r="J352" s="10">
        <v>9</v>
      </c>
      <c r="K352" s="10">
        <v>2</v>
      </c>
      <c r="L352" s="10" t="s">
        <v>1406</v>
      </c>
      <c r="M352" s="10" t="s">
        <v>1407</v>
      </c>
      <c r="N352" s="10">
        <v>-49</v>
      </c>
      <c r="O352" s="10" t="s">
        <v>1949</v>
      </c>
      <c r="P352" s="13">
        <v>46153</v>
      </c>
    </row>
    <row r="353" spans="1:16" x14ac:dyDescent="0.25">
      <c r="A353" s="10" t="s">
        <v>680</v>
      </c>
      <c r="B353" s="10" t="s">
        <v>671</v>
      </c>
      <c r="C353" s="10" t="s">
        <v>76</v>
      </c>
      <c r="D353" s="10" t="s">
        <v>672</v>
      </c>
      <c r="E353" s="10">
        <v>9717517538</v>
      </c>
      <c r="F353" s="12">
        <v>1.1895601851851851</v>
      </c>
      <c r="G353" s="10">
        <v>272.97000000000003</v>
      </c>
      <c r="H353" s="10">
        <v>280.58999999999997</v>
      </c>
      <c r="I353" s="12">
        <v>84.339074074074077</v>
      </c>
      <c r="J353" s="10">
        <v>11</v>
      </c>
      <c r="K353" s="10">
        <v>0</v>
      </c>
      <c r="L353" s="10" t="s">
        <v>1329</v>
      </c>
      <c r="M353" s="10" t="s">
        <v>1330</v>
      </c>
      <c r="N353" s="10">
        <v>250</v>
      </c>
      <c r="O353" s="10" t="s">
        <v>1950</v>
      </c>
      <c r="P353" s="13">
        <v>45953</v>
      </c>
    </row>
    <row r="354" spans="1:16" x14ac:dyDescent="0.25">
      <c r="A354" s="10" t="s">
        <v>681</v>
      </c>
      <c r="B354" s="10" t="s">
        <v>671</v>
      </c>
      <c r="C354" s="10" t="s">
        <v>76</v>
      </c>
      <c r="D354" s="10" t="s">
        <v>672</v>
      </c>
      <c r="E354" s="10">
        <v>9717517538</v>
      </c>
      <c r="F354" s="11">
        <v>0.73821759259259256</v>
      </c>
      <c r="G354" s="10">
        <v>1063.03</v>
      </c>
      <c r="H354" s="10">
        <v>169.8</v>
      </c>
      <c r="I354" s="12">
        <v>84.339074074074077</v>
      </c>
      <c r="J354" s="10">
        <v>6</v>
      </c>
      <c r="K354" s="10">
        <v>2</v>
      </c>
      <c r="L354" s="10" t="s">
        <v>1521</v>
      </c>
      <c r="M354" s="10" t="s">
        <v>1522</v>
      </c>
      <c r="N354" s="10">
        <v>352</v>
      </c>
      <c r="O354" s="10" t="s">
        <v>1949</v>
      </c>
      <c r="P354" s="13">
        <v>45934</v>
      </c>
    </row>
    <row r="355" spans="1:16" x14ac:dyDescent="0.25">
      <c r="A355" s="10" t="s">
        <v>682</v>
      </c>
      <c r="B355" s="10" t="s">
        <v>671</v>
      </c>
      <c r="C355" s="10" t="s">
        <v>76</v>
      </c>
      <c r="D355" s="10" t="s">
        <v>672</v>
      </c>
      <c r="E355" s="10">
        <v>9717517538</v>
      </c>
      <c r="F355" s="12">
        <v>1.726550925925926</v>
      </c>
      <c r="G355" s="10">
        <v>1046.23</v>
      </c>
      <c r="H355" s="10">
        <v>364.11</v>
      </c>
      <c r="I355" s="12">
        <v>84.339074074074077</v>
      </c>
      <c r="J355" s="10">
        <v>4</v>
      </c>
      <c r="K355" s="10">
        <v>1</v>
      </c>
      <c r="L355" s="10" t="s">
        <v>1618</v>
      </c>
      <c r="M355" s="10" t="s">
        <v>1619</v>
      </c>
      <c r="N355" s="10">
        <v>378</v>
      </c>
      <c r="O355" s="10" t="s">
        <v>1950</v>
      </c>
      <c r="P355" s="13">
        <v>46075</v>
      </c>
    </row>
    <row r="356" spans="1:16" x14ac:dyDescent="0.25">
      <c r="A356" s="10" t="s">
        <v>683</v>
      </c>
      <c r="B356" s="10" t="s">
        <v>671</v>
      </c>
      <c r="C356" s="10" t="s">
        <v>134</v>
      </c>
      <c r="D356" s="10" t="s">
        <v>684</v>
      </c>
      <c r="E356" s="10">
        <v>7856823472</v>
      </c>
      <c r="F356" s="11">
        <v>5.8518518518518518E-2</v>
      </c>
      <c r="G356" s="10">
        <v>84.27</v>
      </c>
      <c r="H356" s="10">
        <v>7.18</v>
      </c>
      <c r="I356" s="12">
        <v>84.381435185185182</v>
      </c>
      <c r="J356" s="10"/>
      <c r="K356" s="10"/>
      <c r="L356" s="10"/>
      <c r="M356" s="10"/>
      <c r="N356" s="10"/>
      <c r="O356" s="10" t="s">
        <v>1950</v>
      </c>
      <c r="P356" s="13">
        <v>45917</v>
      </c>
    </row>
    <row r="357" spans="1:16" x14ac:dyDescent="0.25">
      <c r="A357" s="10" t="s">
        <v>685</v>
      </c>
      <c r="B357" s="10" t="s">
        <v>671</v>
      </c>
      <c r="C357" s="10" t="s">
        <v>125</v>
      </c>
      <c r="D357" s="10" t="s">
        <v>551</v>
      </c>
      <c r="E357" s="10">
        <v>9428102150</v>
      </c>
      <c r="F357" s="12">
        <v>2.1106134259259259</v>
      </c>
      <c r="G357" s="10">
        <v>159.28</v>
      </c>
      <c r="H357" s="10">
        <v>257.39999999999998</v>
      </c>
      <c r="I357" s="12">
        <v>84.380798611111118</v>
      </c>
      <c r="J357" s="10">
        <v>14</v>
      </c>
      <c r="K357" s="10">
        <v>4</v>
      </c>
      <c r="L357" s="10" t="s">
        <v>1254</v>
      </c>
      <c r="M357" s="10" t="s">
        <v>1255</v>
      </c>
      <c r="N357" s="10">
        <v>-43</v>
      </c>
      <c r="O357" s="10" t="s">
        <v>1949</v>
      </c>
      <c r="P357" s="13">
        <v>45947</v>
      </c>
    </row>
    <row r="358" spans="1:16" x14ac:dyDescent="0.25">
      <c r="A358" s="10" t="s">
        <v>686</v>
      </c>
      <c r="B358" s="10" t="s">
        <v>671</v>
      </c>
      <c r="C358" s="10" t="s">
        <v>76</v>
      </c>
      <c r="D358" s="10" t="s">
        <v>672</v>
      </c>
      <c r="E358" s="10">
        <v>9717517538</v>
      </c>
      <c r="F358" s="12">
        <v>3.6323726851851852</v>
      </c>
      <c r="G358" s="10">
        <v>910.62</v>
      </c>
      <c r="H358" s="10">
        <v>457.75</v>
      </c>
      <c r="I358" s="12">
        <v>84.339074074074077</v>
      </c>
      <c r="J358" s="10">
        <v>18</v>
      </c>
      <c r="K358" s="10">
        <v>4</v>
      </c>
      <c r="L358" s="10" t="s">
        <v>1150</v>
      </c>
      <c r="M358" s="10" t="s">
        <v>1151</v>
      </c>
      <c r="N358" s="10">
        <v>342</v>
      </c>
      <c r="O358" s="10" t="s">
        <v>1949</v>
      </c>
      <c r="P358" s="13">
        <v>46097</v>
      </c>
    </row>
    <row r="359" spans="1:16" x14ac:dyDescent="0.25">
      <c r="A359" s="10" t="s">
        <v>687</v>
      </c>
      <c r="B359" s="10" t="s">
        <v>671</v>
      </c>
      <c r="C359" s="10" t="s">
        <v>76</v>
      </c>
      <c r="D359" s="10" t="s">
        <v>672</v>
      </c>
      <c r="E359" s="10">
        <v>9717517538</v>
      </c>
      <c r="F359" s="11">
        <v>0.15005787037037038</v>
      </c>
      <c r="G359" s="10">
        <v>216.08</v>
      </c>
      <c r="H359" s="10">
        <v>0</v>
      </c>
      <c r="I359" s="12">
        <v>84.339074074074077</v>
      </c>
      <c r="J359" s="10">
        <v>12</v>
      </c>
      <c r="K359" s="10">
        <v>4</v>
      </c>
      <c r="L359" s="10" t="s">
        <v>1301</v>
      </c>
      <c r="M359" s="10" t="s">
        <v>1302</v>
      </c>
      <c r="N359" s="10">
        <v>233</v>
      </c>
      <c r="O359" s="10" t="s">
        <v>1949</v>
      </c>
      <c r="P359" s="13">
        <v>46014</v>
      </c>
    </row>
    <row r="360" spans="1:16" x14ac:dyDescent="0.25">
      <c r="A360" s="10" t="s">
        <v>688</v>
      </c>
      <c r="B360" s="10" t="s">
        <v>671</v>
      </c>
      <c r="C360" s="10" t="s">
        <v>125</v>
      </c>
      <c r="D360" s="10" t="s">
        <v>551</v>
      </c>
      <c r="E360" s="10">
        <v>9428102150</v>
      </c>
      <c r="F360" s="11">
        <v>0.46940972222222221</v>
      </c>
      <c r="G360" s="10">
        <v>675.95</v>
      </c>
      <c r="H360" s="10">
        <v>68.33</v>
      </c>
      <c r="I360" s="12">
        <v>84.380798611111118</v>
      </c>
      <c r="J360" s="10">
        <v>8</v>
      </c>
      <c r="K360" s="10">
        <v>1</v>
      </c>
      <c r="L360" s="10" t="s">
        <v>1435</v>
      </c>
      <c r="M360" s="10" t="s">
        <v>1436</v>
      </c>
      <c r="N360" s="10">
        <v>-15</v>
      </c>
      <c r="O360" s="10" t="s">
        <v>1950</v>
      </c>
      <c r="P360" s="13">
        <v>46131</v>
      </c>
    </row>
    <row r="361" spans="1:16" x14ac:dyDescent="0.25">
      <c r="A361" s="10" t="s">
        <v>689</v>
      </c>
      <c r="B361" s="10" t="s">
        <v>671</v>
      </c>
      <c r="C361" s="10" t="s">
        <v>125</v>
      </c>
      <c r="D361" s="10" t="s">
        <v>551</v>
      </c>
      <c r="E361" s="10">
        <v>9428102150</v>
      </c>
      <c r="F361" s="12">
        <v>1.8890393518518518</v>
      </c>
      <c r="G361" s="10">
        <v>1280.22</v>
      </c>
      <c r="H361" s="10">
        <v>400.29</v>
      </c>
      <c r="I361" s="12">
        <v>84.380798611111118</v>
      </c>
      <c r="J361" s="10">
        <v>10</v>
      </c>
      <c r="K361" s="10">
        <v>2</v>
      </c>
      <c r="L361" s="10" t="s">
        <v>1375</v>
      </c>
      <c r="M361" s="10" t="s">
        <v>1376</v>
      </c>
      <c r="N361" s="10">
        <v>23</v>
      </c>
      <c r="O361" s="10" t="s">
        <v>1949</v>
      </c>
      <c r="P361" s="13">
        <v>46134</v>
      </c>
    </row>
    <row r="362" spans="1:16" x14ac:dyDescent="0.25">
      <c r="A362" s="10" t="s">
        <v>690</v>
      </c>
      <c r="B362" s="10" t="s">
        <v>671</v>
      </c>
      <c r="C362" s="10" t="s">
        <v>76</v>
      </c>
      <c r="D362" s="10" t="s">
        <v>672</v>
      </c>
      <c r="E362" s="10">
        <v>9717517538</v>
      </c>
      <c r="F362" s="11">
        <v>0.96277777777777773</v>
      </c>
      <c r="G362" s="10">
        <v>1386.4</v>
      </c>
      <c r="H362" s="10">
        <v>115.53</v>
      </c>
      <c r="I362" s="12">
        <v>84.339074074074077</v>
      </c>
      <c r="J362" s="10">
        <v>17</v>
      </c>
      <c r="K362" s="10">
        <v>8</v>
      </c>
      <c r="L362" s="10" t="s">
        <v>1170</v>
      </c>
      <c r="M362" s="10" t="s">
        <v>1171</v>
      </c>
      <c r="N362" s="10">
        <v>230</v>
      </c>
      <c r="O362" s="10" t="s">
        <v>1949</v>
      </c>
      <c r="P362" s="13">
        <v>46147</v>
      </c>
    </row>
    <row r="363" spans="1:16" x14ac:dyDescent="0.25">
      <c r="A363" s="10" t="s">
        <v>691</v>
      </c>
      <c r="B363" s="10" t="s">
        <v>671</v>
      </c>
      <c r="C363" s="10" t="s">
        <v>76</v>
      </c>
      <c r="D363" s="10" t="s">
        <v>672</v>
      </c>
      <c r="E363" s="10">
        <v>9717517538</v>
      </c>
      <c r="F363" s="12">
        <v>1.8938078703703705</v>
      </c>
      <c r="G363" s="10">
        <v>1287.08</v>
      </c>
      <c r="H363" s="10">
        <v>386.74</v>
      </c>
      <c r="I363" s="12">
        <v>84.339074074074077</v>
      </c>
      <c r="J363" s="10">
        <v>5</v>
      </c>
      <c r="K363" s="10">
        <v>0</v>
      </c>
      <c r="L363" s="10" t="s">
        <v>1582</v>
      </c>
      <c r="M363" s="10" t="s">
        <v>1583</v>
      </c>
      <c r="N363" s="10">
        <v>430</v>
      </c>
      <c r="O363" s="10" t="s">
        <v>1950</v>
      </c>
      <c r="P363" s="13">
        <v>46061</v>
      </c>
    </row>
    <row r="364" spans="1:16" x14ac:dyDescent="0.25">
      <c r="A364" s="10" t="s">
        <v>692</v>
      </c>
      <c r="B364" s="10" t="s">
        <v>671</v>
      </c>
      <c r="C364" s="10" t="s">
        <v>76</v>
      </c>
      <c r="D364" s="10" t="s">
        <v>672</v>
      </c>
      <c r="E364" s="10">
        <v>9717517538</v>
      </c>
      <c r="F364" s="12">
        <v>2.0933912037037037</v>
      </c>
      <c r="G364" s="10">
        <v>134.47999999999999</v>
      </c>
      <c r="H364" s="10">
        <v>399.57</v>
      </c>
      <c r="I364" s="12">
        <v>84.339074074074077</v>
      </c>
      <c r="J364" s="10">
        <v>8</v>
      </c>
      <c r="K364" s="10">
        <v>2</v>
      </c>
      <c r="L364" s="10" t="s">
        <v>1437</v>
      </c>
      <c r="M364" s="10" t="s">
        <v>1438</v>
      </c>
      <c r="N364" s="10">
        <v>377</v>
      </c>
      <c r="O364" s="10" t="s">
        <v>1950</v>
      </c>
      <c r="P364" s="13">
        <v>46153</v>
      </c>
    </row>
    <row r="365" spans="1:16" x14ac:dyDescent="0.25">
      <c r="A365" s="10" t="s">
        <v>693</v>
      </c>
      <c r="B365" s="10" t="s">
        <v>671</v>
      </c>
      <c r="C365" s="10" t="s">
        <v>76</v>
      </c>
      <c r="D365" s="10" t="s">
        <v>672</v>
      </c>
      <c r="E365" s="10">
        <v>9717517538</v>
      </c>
      <c r="F365" s="12">
        <v>1.232361111111111</v>
      </c>
      <c r="G365" s="10">
        <v>334.6</v>
      </c>
      <c r="H365" s="10">
        <v>217.05</v>
      </c>
      <c r="I365" s="12">
        <v>84.339074074074077</v>
      </c>
      <c r="J365" s="10">
        <v>8</v>
      </c>
      <c r="K365" s="10">
        <v>1</v>
      </c>
      <c r="L365" s="10" t="s">
        <v>1429</v>
      </c>
      <c r="M365" s="10" t="s">
        <v>1430</v>
      </c>
      <c r="N365" s="10">
        <v>338</v>
      </c>
      <c r="O365" s="10" t="s">
        <v>1950</v>
      </c>
      <c r="P365" s="13">
        <v>46155</v>
      </c>
    </row>
    <row r="366" spans="1:16" x14ac:dyDescent="0.25">
      <c r="A366" s="10" t="s">
        <v>694</v>
      </c>
      <c r="B366" s="10" t="s">
        <v>671</v>
      </c>
      <c r="C366" s="10" t="s">
        <v>11</v>
      </c>
      <c r="D366" s="10" t="s">
        <v>530</v>
      </c>
      <c r="E366" s="10">
        <v>9898887463</v>
      </c>
      <c r="F366" s="12">
        <v>1.540925925925926</v>
      </c>
      <c r="G366" s="10">
        <v>778.93</v>
      </c>
      <c r="H366" s="10">
        <v>394.11</v>
      </c>
      <c r="I366" s="12">
        <v>84.257881944444449</v>
      </c>
      <c r="J366" s="10">
        <v>5</v>
      </c>
      <c r="K366" s="10">
        <v>0</v>
      </c>
      <c r="L366" s="10" t="s">
        <v>1565</v>
      </c>
      <c r="M366" s="10" t="s">
        <v>1566</v>
      </c>
      <c r="N366" s="10">
        <v>634</v>
      </c>
      <c r="O366" s="10" t="s">
        <v>1950</v>
      </c>
      <c r="P366" s="13">
        <v>46001</v>
      </c>
    </row>
    <row r="367" spans="1:16" x14ac:dyDescent="0.25">
      <c r="A367" s="10" t="s">
        <v>695</v>
      </c>
      <c r="B367" s="10" t="s">
        <v>671</v>
      </c>
      <c r="C367" s="10" t="s">
        <v>35</v>
      </c>
      <c r="D367" s="10" t="s">
        <v>368</v>
      </c>
      <c r="E367" s="10">
        <v>8448820535</v>
      </c>
      <c r="F367" s="11">
        <v>0.33269675925925923</v>
      </c>
      <c r="G367" s="10">
        <v>479.08</v>
      </c>
      <c r="H367" s="10">
        <v>72.599999999999994</v>
      </c>
      <c r="I367" s="12">
        <v>84.334097222222226</v>
      </c>
      <c r="J367" s="10">
        <v>9</v>
      </c>
      <c r="K367" s="10">
        <v>1</v>
      </c>
      <c r="L367" s="10" t="s">
        <v>1404</v>
      </c>
      <c r="M367" s="10" t="s">
        <v>1405</v>
      </c>
      <c r="N367" s="10">
        <v>409</v>
      </c>
      <c r="O367" s="10" t="s">
        <v>1950</v>
      </c>
      <c r="P367" s="13">
        <v>46153</v>
      </c>
    </row>
    <row r="368" spans="1:16" x14ac:dyDescent="0.25">
      <c r="A368" s="10" t="s">
        <v>696</v>
      </c>
      <c r="B368" s="10" t="s">
        <v>671</v>
      </c>
      <c r="C368" s="10" t="s">
        <v>35</v>
      </c>
      <c r="D368" s="10" t="s">
        <v>368</v>
      </c>
      <c r="E368" s="10">
        <v>8448820535</v>
      </c>
      <c r="F368" s="12">
        <v>1.5788888888888888</v>
      </c>
      <c r="G368" s="10">
        <v>833.6</v>
      </c>
      <c r="H368" s="10">
        <v>358.26</v>
      </c>
      <c r="I368" s="12">
        <v>84.334097222222226</v>
      </c>
      <c r="J368" s="10">
        <v>1</v>
      </c>
      <c r="K368" s="10">
        <v>0</v>
      </c>
      <c r="L368" s="10" t="s">
        <v>1923</v>
      </c>
      <c r="M368" s="10" t="s">
        <v>1923</v>
      </c>
      <c r="N368" s="10">
        <v>488</v>
      </c>
      <c r="O368" s="10" t="s">
        <v>1950</v>
      </c>
      <c r="P368" s="13">
        <v>46155</v>
      </c>
    </row>
    <row r="369" spans="1:16" x14ac:dyDescent="0.25">
      <c r="A369" s="10" t="s">
        <v>697</v>
      </c>
      <c r="B369" s="10" t="s">
        <v>671</v>
      </c>
      <c r="C369" s="10" t="s">
        <v>35</v>
      </c>
      <c r="D369" s="10" t="s">
        <v>368</v>
      </c>
      <c r="E369" s="10">
        <v>8448820535</v>
      </c>
      <c r="F369" s="12">
        <v>1.8107986111111112</v>
      </c>
      <c r="G369" s="10">
        <v>1167.55</v>
      </c>
      <c r="H369" s="10">
        <v>54611.89</v>
      </c>
      <c r="I369" s="12">
        <v>84.334097222222226</v>
      </c>
      <c r="J369" s="10">
        <v>31</v>
      </c>
      <c r="K369" s="10">
        <v>3</v>
      </c>
      <c r="L369" s="10" t="s">
        <v>940</v>
      </c>
      <c r="M369" s="10" t="s">
        <v>941</v>
      </c>
      <c r="N369" s="10">
        <v>220</v>
      </c>
      <c r="O369" s="10" t="s">
        <v>1950</v>
      </c>
      <c r="P369" s="13">
        <v>46136</v>
      </c>
    </row>
    <row r="370" spans="1:16" x14ac:dyDescent="0.25">
      <c r="A370" s="10" t="s">
        <v>698</v>
      </c>
      <c r="B370" s="10" t="s">
        <v>671</v>
      </c>
      <c r="C370" s="10" t="s">
        <v>35</v>
      </c>
      <c r="D370" s="10" t="s">
        <v>368</v>
      </c>
      <c r="E370" s="10">
        <v>8448820535</v>
      </c>
      <c r="F370" s="12">
        <v>1.6672222222222222</v>
      </c>
      <c r="G370" s="10">
        <v>960.8</v>
      </c>
      <c r="H370" s="10">
        <v>367.92</v>
      </c>
      <c r="I370" s="12">
        <v>84.334097222222226</v>
      </c>
      <c r="J370" s="10">
        <v>14</v>
      </c>
      <c r="K370" s="10">
        <v>4</v>
      </c>
      <c r="L370" s="10" t="s">
        <v>1240</v>
      </c>
      <c r="M370" s="10" t="s">
        <v>1241</v>
      </c>
      <c r="N370" s="10">
        <v>218</v>
      </c>
      <c r="O370" s="10" t="s">
        <v>1949</v>
      </c>
      <c r="P370" s="13">
        <v>46154</v>
      </c>
    </row>
    <row r="371" spans="1:16" x14ac:dyDescent="0.25">
      <c r="A371" s="10" t="s">
        <v>699</v>
      </c>
      <c r="B371" s="10" t="s">
        <v>671</v>
      </c>
      <c r="C371" s="10" t="s">
        <v>35</v>
      </c>
      <c r="D371" s="10" t="s">
        <v>368</v>
      </c>
      <c r="E371" s="10">
        <v>8448820535</v>
      </c>
      <c r="F371" s="12">
        <v>3.5244907407407409</v>
      </c>
      <c r="G371" s="10">
        <v>755.27</v>
      </c>
      <c r="H371" s="10">
        <v>705.11</v>
      </c>
      <c r="I371" s="12">
        <v>84.334097222222226</v>
      </c>
      <c r="J371" s="10">
        <v>29</v>
      </c>
      <c r="K371" s="10">
        <v>5</v>
      </c>
      <c r="L371" s="10" t="s">
        <v>970</v>
      </c>
      <c r="M371" s="10" t="s">
        <v>971</v>
      </c>
      <c r="N371" s="10">
        <v>211</v>
      </c>
      <c r="O371" s="10" t="s">
        <v>1950</v>
      </c>
      <c r="P371" s="13">
        <v>46039</v>
      </c>
    </row>
    <row r="372" spans="1:16" x14ac:dyDescent="0.25">
      <c r="A372" s="10" t="s">
        <v>700</v>
      </c>
      <c r="B372" s="10" t="s">
        <v>671</v>
      </c>
      <c r="C372" s="10" t="s">
        <v>35</v>
      </c>
      <c r="D372" s="10" t="s">
        <v>368</v>
      </c>
      <c r="E372" s="10">
        <v>8448820535</v>
      </c>
      <c r="F372" s="12">
        <v>2.1477430555555554</v>
      </c>
      <c r="G372" s="10">
        <v>212.75</v>
      </c>
      <c r="H372" s="10">
        <v>401.24</v>
      </c>
      <c r="I372" s="12">
        <v>84.334097222222226</v>
      </c>
      <c r="J372" s="10">
        <v>21</v>
      </c>
      <c r="K372" s="10">
        <v>0</v>
      </c>
      <c r="L372" s="10" t="s">
        <v>1094</v>
      </c>
      <c r="M372" s="10" t="s">
        <v>1095</v>
      </c>
      <c r="N372" s="10">
        <v>217</v>
      </c>
      <c r="O372" s="10" t="s">
        <v>1950</v>
      </c>
      <c r="P372" s="13">
        <v>46155</v>
      </c>
    </row>
    <row r="373" spans="1:16" x14ac:dyDescent="0.25">
      <c r="A373" s="10" t="s">
        <v>701</v>
      </c>
      <c r="B373" s="10" t="s">
        <v>671</v>
      </c>
      <c r="C373" s="10" t="s">
        <v>35</v>
      </c>
      <c r="D373" s="10" t="s">
        <v>368</v>
      </c>
      <c r="E373" s="10">
        <v>8448820535</v>
      </c>
      <c r="F373" s="12">
        <v>2.4450810185185183</v>
      </c>
      <c r="G373" s="10">
        <v>640.91999999999996</v>
      </c>
      <c r="H373" s="10">
        <v>968.85</v>
      </c>
      <c r="I373" s="12">
        <v>84.334097222222226</v>
      </c>
      <c r="J373" s="10">
        <v>33</v>
      </c>
      <c r="K373" s="10">
        <v>4</v>
      </c>
      <c r="L373" s="10" t="s">
        <v>920</v>
      </c>
      <c r="M373" s="10" t="s">
        <v>921</v>
      </c>
      <c r="N373" s="10">
        <v>212</v>
      </c>
      <c r="O373" s="10" t="s">
        <v>1950</v>
      </c>
      <c r="P373" s="13">
        <v>46151</v>
      </c>
    </row>
    <row r="374" spans="1:16" x14ac:dyDescent="0.25">
      <c r="A374" s="10" t="s">
        <v>702</v>
      </c>
      <c r="B374" s="10" t="s">
        <v>671</v>
      </c>
      <c r="C374" s="10" t="s">
        <v>35</v>
      </c>
      <c r="D374" s="10" t="s">
        <v>368</v>
      </c>
      <c r="E374" s="10">
        <v>8448820535</v>
      </c>
      <c r="F374" s="12">
        <v>2.9621064814814817</v>
      </c>
      <c r="G374" s="10">
        <v>1385.43</v>
      </c>
      <c r="H374" s="10">
        <v>11472.63</v>
      </c>
      <c r="I374" s="12">
        <v>84.334097222222226</v>
      </c>
      <c r="J374" s="10">
        <v>38</v>
      </c>
      <c r="K374" s="10">
        <v>6</v>
      </c>
      <c r="L374" s="10" t="s">
        <v>875</v>
      </c>
      <c r="M374" s="10" t="s">
        <v>876</v>
      </c>
      <c r="N374" s="10">
        <v>210</v>
      </c>
      <c r="O374" s="10" t="s">
        <v>1949</v>
      </c>
      <c r="P374" s="13">
        <v>46127</v>
      </c>
    </row>
    <row r="375" spans="1:16" x14ac:dyDescent="0.25">
      <c r="A375" s="10" t="s">
        <v>703</v>
      </c>
      <c r="B375" s="10" t="s">
        <v>671</v>
      </c>
      <c r="C375" s="10" t="s">
        <v>35</v>
      </c>
      <c r="D375" s="10" t="s">
        <v>368</v>
      </c>
      <c r="E375" s="10">
        <v>8448820535</v>
      </c>
      <c r="F375" s="12">
        <v>2.7033217592592593</v>
      </c>
      <c r="G375" s="10">
        <v>1012.78</v>
      </c>
      <c r="H375" s="10">
        <v>31486.16</v>
      </c>
      <c r="I375" s="12">
        <v>84.334097222222226</v>
      </c>
      <c r="J375" s="10">
        <v>29</v>
      </c>
      <c r="K375" s="10">
        <v>6</v>
      </c>
      <c r="L375" s="10" t="s">
        <v>972</v>
      </c>
      <c r="M375" s="10" t="s">
        <v>973</v>
      </c>
      <c r="N375" s="10">
        <v>226</v>
      </c>
      <c r="O375" s="10" t="s">
        <v>1949</v>
      </c>
      <c r="P375" s="13">
        <v>46155</v>
      </c>
    </row>
    <row r="376" spans="1:16" x14ac:dyDescent="0.25">
      <c r="A376" s="10" t="s">
        <v>704</v>
      </c>
      <c r="B376" s="10" t="s">
        <v>671</v>
      </c>
      <c r="C376" s="10" t="s">
        <v>35</v>
      </c>
      <c r="D376" s="10" t="s">
        <v>368</v>
      </c>
      <c r="E376" s="10">
        <v>8448820535</v>
      </c>
      <c r="F376" s="12">
        <v>1.1368750000000001</v>
      </c>
      <c r="G376" s="10">
        <v>197.1</v>
      </c>
      <c r="H376" s="10">
        <v>248.22</v>
      </c>
      <c r="I376" s="12">
        <v>84.334097222222226</v>
      </c>
      <c r="J376" s="10">
        <v>28</v>
      </c>
      <c r="K376" s="10">
        <v>3</v>
      </c>
      <c r="L376" s="10" t="s">
        <v>984</v>
      </c>
      <c r="M376" s="10" t="s">
        <v>985</v>
      </c>
      <c r="N376" s="10">
        <v>240</v>
      </c>
      <c r="O376" s="10" t="s">
        <v>1950</v>
      </c>
      <c r="P376" s="13">
        <v>46073</v>
      </c>
    </row>
    <row r="377" spans="1:16" x14ac:dyDescent="0.25">
      <c r="A377" s="10" t="s">
        <v>705</v>
      </c>
      <c r="B377" s="10" t="s">
        <v>671</v>
      </c>
      <c r="C377" s="10" t="s">
        <v>35</v>
      </c>
      <c r="D377" s="10" t="s">
        <v>368</v>
      </c>
      <c r="E377" s="10">
        <v>8448820535</v>
      </c>
      <c r="F377" s="12">
        <v>1.2596064814814816</v>
      </c>
      <c r="G377" s="10">
        <v>373.83</v>
      </c>
      <c r="H377" s="10">
        <v>272.83</v>
      </c>
      <c r="I377" s="12">
        <v>84.334097222222226</v>
      </c>
      <c r="J377" s="10">
        <v>23</v>
      </c>
      <c r="K377" s="10">
        <v>4</v>
      </c>
      <c r="L377" s="10" t="s">
        <v>1056</v>
      </c>
      <c r="M377" s="10" t="s">
        <v>1057</v>
      </c>
      <c r="N377" s="10">
        <v>239</v>
      </c>
      <c r="O377" s="10" t="s">
        <v>1950</v>
      </c>
      <c r="P377" s="13">
        <v>46095</v>
      </c>
    </row>
    <row r="378" spans="1:16" x14ac:dyDescent="0.25">
      <c r="A378" s="10" t="s">
        <v>706</v>
      </c>
      <c r="B378" s="10" t="s">
        <v>671</v>
      </c>
      <c r="C378" s="10" t="s">
        <v>66</v>
      </c>
      <c r="D378" s="10" t="s">
        <v>707</v>
      </c>
      <c r="E378" s="10">
        <v>9503468080</v>
      </c>
      <c r="F378" s="12">
        <v>1.5952546296296297</v>
      </c>
      <c r="G378" s="10">
        <v>857.17</v>
      </c>
      <c r="H378" s="10">
        <v>287.52</v>
      </c>
      <c r="I378" s="12">
        <v>84.339050925925932</v>
      </c>
      <c r="J378" s="10">
        <v>26</v>
      </c>
      <c r="K378" s="10">
        <v>11</v>
      </c>
      <c r="L378" s="10" t="s">
        <v>1014</v>
      </c>
      <c r="M378" s="10" t="s">
        <v>1015</v>
      </c>
      <c r="N378" s="10">
        <v>8</v>
      </c>
      <c r="O378" s="10" t="s">
        <v>1949</v>
      </c>
      <c r="P378" s="13">
        <v>46154</v>
      </c>
    </row>
    <row r="379" spans="1:16" x14ac:dyDescent="0.25">
      <c r="A379" s="10" t="s">
        <v>708</v>
      </c>
      <c r="B379" s="10" t="s">
        <v>671</v>
      </c>
      <c r="C379" s="10" t="s">
        <v>11</v>
      </c>
      <c r="D379" s="10" t="s">
        <v>530</v>
      </c>
      <c r="E379" s="10">
        <v>9898887463</v>
      </c>
      <c r="F379" s="12">
        <v>1.5081828703703704</v>
      </c>
      <c r="G379" s="10">
        <v>731.78</v>
      </c>
      <c r="H379" s="10">
        <v>272.97000000000003</v>
      </c>
      <c r="I379" s="12">
        <v>84.257881944444449</v>
      </c>
      <c r="J379" s="10">
        <v>14</v>
      </c>
      <c r="K379" s="10">
        <v>6</v>
      </c>
      <c r="L379" s="10" t="s">
        <v>1250</v>
      </c>
      <c r="M379" s="10" t="s">
        <v>1251</v>
      </c>
      <c r="N379" s="10">
        <v>662</v>
      </c>
      <c r="O379" s="10" t="s">
        <v>1950</v>
      </c>
      <c r="P379" s="13">
        <v>45999</v>
      </c>
    </row>
    <row r="380" spans="1:16" x14ac:dyDescent="0.25">
      <c r="A380" s="10" t="s">
        <v>709</v>
      </c>
      <c r="B380" s="10" t="s">
        <v>671</v>
      </c>
      <c r="C380" s="10" t="s">
        <v>35</v>
      </c>
      <c r="D380" s="10" t="s">
        <v>368</v>
      </c>
      <c r="E380" s="10">
        <v>8448820535</v>
      </c>
      <c r="F380" s="12">
        <v>4.9889467592592593</v>
      </c>
      <c r="G380" s="10">
        <v>1424.08</v>
      </c>
      <c r="H380" s="10">
        <v>10024.41</v>
      </c>
      <c r="I380" s="12">
        <v>84.334097222222226</v>
      </c>
      <c r="J380" s="10">
        <v>41</v>
      </c>
      <c r="K380" s="10">
        <v>13</v>
      </c>
      <c r="L380" s="10" t="s">
        <v>851</v>
      </c>
      <c r="M380" s="10" t="s">
        <v>852</v>
      </c>
      <c r="N380" s="10">
        <v>225</v>
      </c>
      <c r="O380" s="10" t="s">
        <v>1949</v>
      </c>
      <c r="P380" s="13">
        <v>46152</v>
      </c>
    </row>
    <row r="381" spans="1:16" x14ac:dyDescent="0.25">
      <c r="A381" s="10" t="s">
        <v>710</v>
      </c>
      <c r="B381" s="10" t="s">
        <v>671</v>
      </c>
      <c r="C381" s="10" t="s">
        <v>11</v>
      </c>
      <c r="D381" s="10" t="s">
        <v>530</v>
      </c>
      <c r="E381" s="10">
        <v>9898887463</v>
      </c>
      <c r="F381" s="11">
        <v>3.5057870370370371E-2</v>
      </c>
      <c r="G381" s="10">
        <v>50.48</v>
      </c>
      <c r="H381" s="10">
        <v>4.21</v>
      </c>
      <c r="I381" s="12">
        <v>84.257881944444449</v>
      </c>
      <c r="J381" s="10">
        <v>9</v>
      </c>
      <c r="K381" s="10">
        <v>4</v>
      </c>
      <c r="L381" s="10" t="s">
        <v>1398</v>
      </c>
      <c r="M381" s="10" t="s">
        <v>1399</v>
      </c>
      <c r="N381" s="10">
        <v>642</v>
      </c>
      <c r="O381" s="10" t="s">
        <v>1950</v>
      </c>
      <c r="P381" s="13">
        <v>45572</v>
      </c>
    </row>
    <row r="382" spans="1:16" x14ac:dyDescent="0.25">
      <c r="A382" s="10" t="s">
        <v>711</v>
      </c>
      <c r="B382" s="10" t="s">
        <v>671</v>
      </c>
      <c r="C382" s="10" t="s">
        <v>11</v>
      </c>
      <c r="D382" s="10" t="s">
        <v>530</v>
      </c>
      <c r="E382" s="10">
        <v>9898887463</v>
      </c>
      <c r="F382" s="12">
        <v>2.6540162037037036</v>
      </c>
      <c r="G382" s="10">
        <v>941.78</v>
      </c>
      <c r="H382" s="10">
        <v>577.78</v>
      </c>
      <c r="I382" s="12">
        <v>84.257881944444449</v>
      </c>
      <c r="J382" s="10">
        <v>26</v>
      </c>
      <c r="K382" s="10">
        <v>11</v>
      </c>
      <c r="L382" s="10" t="s">
        <v>1018</v>
      </c>
      <c r="M382" s="10" t="s">
        <v>1019</v>
      </c>
      <c r="N382" s="10">
        <v>660</v>
      </c>
      <c r="O382" s="10" t="s">
        <v>1949</v>
      </c>
      <c r="P382" s="13">
        <v>46107</v>
      </c>
    </row>
    <row r="383" spans="1:16" x14ac:dyDescent="0.25">
      <c r="A383" s="10" t="s">
        <v>712</v>
      </c>
      <c r="B383" s="10" t="s">
        <v>671</v>
      </c>
      <c r="C383" s="10" t="s">
        <v>76</v>
      </c>
      <c r="D383" s="10" t="s">
        <v>672</v>
      </c>
      <c r="E383" s="10">
        <v>9717517538</v>
      </c>
      <c r="F383" s="12">
        <v>5.7356018518518521</v>
      </c>
      <c r="G383" s="10">
        <v>1059.27</v>
      </c>
      <c r="H383" s="10">
        <v>1461.68</v>
      </c>
      <c r="I383" s="12">
        <v>84.339074074074077</v>
      </c>
      <c r="J383" s="10">
        <v>43</v>
      </c>
      <c r="K383" s="10">
        <v>11</v>
      </c>
      <c r="L383" s="10" t="s">
        <v>838</v>
      </c>
      <c r="M383" s="10" t="s">
        <v>839</v>
      </c>
      <c r="N383" s="10">
        <v>21</v>
      </c>
      <c r="O383" s="10" t="s">
        <v>1949</v>
      </c>
      <c r="P383" s="13">
        <v>46052</v>
      </c>
    </row>
    <row r="384" spans="1:16" x14ac:dyDescent="0.25">
      <c r="A384" s="10" t="s">
        <v>713</v>
      </c>
      <c r="B384" s="10" t="s">
        <v>311</v>
      </c>
      <c r="C384" s="10" t="s">
        <v>11</v>
      </c>
      <c r="D384" s="10" t="s">
        <v>530</v>
      </c>
      <c r="E384" s="10">
        <v>9898887463</v>
      </c>
      <c r="F384" s="11">
        <v>0.11712962962962963</v>
      </c>
      <c r="G384" s="10">
        <v>168.67</v>
      </c>
      <c r="H384" s="10">
        <v>11.29</v>
      </c>
      <c r="I384" s="12">
        <v>84.257881944444449</v>
      </c>
      <c r="J384" s="10">
        <v>11</v>
      </c>
      <c r="K384" s="10">
        <v>4</v>
      </c>
      <c r="L384" s="10" t="s">
        <v>1323</v>
      </c>
      <c r="M384" s="10" t="s">
        <v>1324</v>
      </c>
      <c r="N384" s="10">
        <v>647</v>
      </c>
      <c r="O384" s="10" t="s">
        <v>1950</v>
      </c>
      <c r="P384" s="13">
        <v>45924</v>
      </c>
    </row>
    <row r="385" spans="1:16" x14ac:dyDescent="0.25">
      <c r="A385" s="10" t="s">
        <v>714</v>
      </c>
      <c r="B385" s="10" t="s">
        <v>671</v>
      </c>
      <c r="C385" s="10" t="s">
        <v>11</v>
      </c>
      <c r="D385" s="10" t="s">
        <v>530</v>
      </c>
      <c r="E385" s="10">
        <v>9898887463</v>
      </c>
      <c r="F385" s="12">
        <v>6.2716087962962961</v>
      </c>
      <c r="G385" s="10">
        <v>391.12</v>
      </c>
      <c r="H385" s="10">
        <v>1210.6300000000001</v>
      </c>
      <c r="I385" s="12">
        <v>84.257881944444449</v>
      </c>
      <c r="J385" s="10">
        <v>50</v>
      </c>
      <c r="K385" s="10">
        <v>18</v>
      </c>
      <c r="L385" s="10" t="s">
        <v>821</v>
      </c>
      <c r="M385" s="10" t="s">
        <v>822</v>
      </c>
      <c r="N385" s="10">
        <v>627</v>
      </c>
      <c r="O385" s="10" t="s">
        <v>1949</v>
      </c>
      <c r="P385" s="13">
        <v>46061</v>
      </c>
    </row>
    <row r="386" spans="1:16" x14ac:dyDescent="0.25">
      <c r="A386" s="10" t="s">
        <v>715</v>
      </c>
      <c r="B386" s="10" t="s">
        <v>671</v>
      </c>
      <c r="C386" s="10" t="s">
        <v>76</v>
      </c>
      <c r="D386" s="10" t="s">
        <v>672</v>
      </c>
      <c r="E386" s="10">
        <v>9717517538</v>
      </c>
      <c r="F386" s="12">
        <v>4.8711689814814818</v>
      </c>
      <c r="G386" s="10">
        <v>1254.48</v>
      </c>
      <c r="H386" s="10">
        <v>1117.3800000000001</v>
      </c>
      <c r="I386" s="12">
        <v>84.339074074074077</v>
      </c>
      <c r="J386" s="10">
        <v>39</v>
      </c>
      <c r="K386" s="10">
        <v>12</v>
      </c>
      <c r="L386" s="10" t="s">
        <v>862</v>
      </c>
      <c r="M386" s="10" t="s">
        <v>863</v>
      </c>
      <c r="N386" s="10">
        <v>25</v>
      </c>
      <c r="O386" s="10" t="s">
        <v>1949</v>
      </c>
      <c r="P386" s="13">
        <v>46131</v>
      </c>
    </row>
    <row r="387" spans="1:16" x14ac:dyDescent="0.25">
      <c r="A387" s="10" t="s">
        <v>716</v>
      </c>
      <c r="B387" s="10" t="s">
        <v>671</v>
      </c>
      <c r="C387" s="10" t="s">
        <v>11</v>
      </c>
      <c r="D387" s="10" t="s">
        <v>530</v>
      </c>
      <c r="E387" s="10">
        <v>9898887463</v>
      </c>
      <c r="F387" s="12">
        <v>4.2692361111111108</v>
      </c>
      <c r="G387" s="10">
        <v>387.7</v>
      </c>
      <c r="H387" s="10">
        <v>1083.8399999999999</v>
      </c>
      <c r="I387" s="12">
        <v>84.257881944444449</v>
      </c>
      <c r="J387" s="10">
        <v>39</v>
      </c>
      <c r="K387" s="10">
        <v>13</v>
      </c>
      <c r="L387" s="10" t="s">
        <v>864</v>
      </c>
      <c r="M387" s="10" t="s">
        <v>865</v>
      </c>
      <c r="N387" s="10">
        <v>665</v>
      </c>
      <c r="O387" s="10" t="s">
        <v>1949</v>
      </c>
      <c r="P387" s="13">
        <v>46153</v>
      </c>
    </row>
    <row r="388" spans="1:16" x14ac:dyDescent="0.25">
      <c r="A388" s="10" t="s">
        <v>717</v>
      </c>
      <c r="B388" s="10" t="s">
        <v>671</v>
      </c>
      <c r="C388" s="10" t="s">
        <v>11</v>
      </c>
      <c r="D388" s="10" t="s">
        <v>530</v>
      </c>
      <c r="E388" s="10">
        <v>9898887463</v>
      </c>
      <c r="F388" s="12">
        <v>5.5537268518518514</v>
      </c>
      <c r="G388" s="10">
        <v>797.37</v>
      </c>
      <c r="H388" s="10">
        <v>1160.29</v>
      </c>
      <c r="I388" s="12">
        <v>84.257881944444449</v>
      </c>
      <c r="J388" s="10">
        <v>38</v>
      </c>
      <c r="K388" s="10">
        <v>15</v>
      </c>
      <c r="L388" s="10" t="s">
        <v>879</v>
      </c>
      <c r="M388" s="10" t="s">
        <v>880</v>
      </c>
      <c r="N388" s="10">
        <v>729</v>
      </c>
      <c r="O388" s="10" t="s">
        <v>1949</v>
      </c>
      <c r="P388" s="13">
        <v>46153</v>
      </c>
    </row>
    <row r="389" spans="1:16" x14ac:dyDescent="0.25">
      <c r="A389" s="10" t="s">
        <v>718</v>
      </c>
      <c r="B389" s="10" t="s">
        <v>671</v>
      </c>
      <c r="C389" s="10" t="s">
        <v>76</v>
      </c>
      <c r="D389" s="10" t="s">
        <v>672</v>
      </c>
      <c r="E389" s="10">
        <v>9717517538</v>
      </c>
      <c r="F389" s="12">
        <v>3.5665740740740741</v>
      </c>
      <c r="G389" s="10">
        <v>815.87</v>
      </c>
      <c r="H389" s="10">
        <v>921.68</v>
      </c>
      <c r="I389" s="12">
        <v>84.339074074074077</v>
      </c>
      <c r="J389" s="10">
        <v>33</v>
      </c>
      <c r="K389" s="10">
        <v>18</v>
      </c>
      <c r="L389" s="10" t="s">
        <v>924</v>
      </c>
      <c r="M389" s="10" t="s">
        <v>925</v>
      </c>
      <c r="N389" s="10">
        <v>25</v>
      </c>
      <c r="O389" s="10" t="s">
        <v>1949</v>
      </c>
      <c r="P389" s="13">
        <v>46131</v>
      </c>
    </row>
    <row r="390" spans="1:16" x14ac:dyDescent="0.25">
      <c r="A390" s="10" t="s">
        <v>719</v>
      </c>
      <c r="B390" s="10" t="s">
        <v>671</v>
      </c>
      <c r="C390" s="10" t="s">
        <v>76</v>
      </c>
      <c r="D390" s="10" t="s">
        <v>672</v>
      </c>
      <c r="E390" s="10">
        <v>9717517538</v>
      </c>
      <c r="F390" s="12">
        <v>4.264444444444444</v>
      </c>
      <c r="G390" s="10">
        <v>380.8</v>
      </c>
      <c r="H390" s="10">
        <v>1104.21</v>
      </c>
      <c r="I390" s="12">
        <v>84.339074074074077</v>
      </c>
      <c r="J390" s="10">
        <v>31</v>
      </c>
      <c r="K390" s="10">
        <v>13</v>
      </c>
      <c r="L390" s="10" t="s">
        <v>942</v>
      </c>
      <c r="M390" s="10" t="s">
        <v>943</v>
      </c>
      <c r="N390" s="10">
        <v>12</v>
      </c>
      <c r="O390" s="10" t="s">
        <v>1950</v>
      </c>
      <c r="P390" s="13">
        <v>46052</v>
      </c>
    </row>
    <row r="391" spans="1:16" x14ac:dyDescent="0.25">
      <c r="A391" s="10" t="s">
        <v>720</v>
      </c>
      <c r="B391" s="10" t="s">
        <v>671</v>
      </c>
      <c r="C391" s="10" t="s">
        <v>76</v>
      </c>
      <c r="D391" s="10" t="s">
        <v>672</v>
      </c>
      <c r="E391" s="10">
        <v>9717517538</v>
      </c>
      <c r="F391" s="12">
        <v>4.5904050925925928</v>
      </c>
      <c r="G391" s="10">
        <v>850.18</v>
      </c>
      <c r="H391" s="10">
        <v>11238.59</v>
      </c>
      <c r="I391" s="12">
        <v>84.339074074074077</v>
      </c>
      <c r="J391" s="10">
        <v>28</v>
      </c>
      <c r="K391" s="10">
        <v>10</v>
      </c>
      <c r="L391" s="10" t="s">
        <v>986</v>
      </c>
      <c r="M391" s="10" t="s">
        <v>987</v>
      </c>
      <c r="N391" s="10">
        <v>33</v>
      </c>
      <c r="O391" s="10" t="s">
        <v>1949</v>
      </c>
      <c r="P391" s="13">
        <v>45856</v>
      </c>
    </row>
    <row r="392" spans="1:16" x14ac:dyDescent="0.25">
      <c r="A392" s="10" t="s">
        <v>721</v>
      </c>
      <c r="B392" s="10" t="s">
        <v>671</v>
      </c>
      <c r="C392" s="10" t="s">
        <v>76</v>
      </c>
      <c r="D392" s="10" t="s">
        <v>672</v>
      </c>
      <c r="E392" s="10">
        <v>9717517538</v>
      </c>
      <c r="F392" s="12">
        <v>4.388553240740741</v>
      </c>
      <c r="G392" s="10">
        <v>559.52</v>
      </c>
      <c r="H392" s="10">
        <v>1031.54</v>
      </c>
      <c r="I392" s="12">
        <v>84.339074074074077</v>
      </c>
      <c r="J392" s="10">
        <v>23</v>
      </c>
      <c r="K392" s="10">
        <v>7</v>
      </c>
      <c r="L392" s="10" t="s">
        <v>1058</v>
      </c>
      <c r="M392" s="10" t="s">
        <v>1059</v>
      </c>
      <c r="N392" s="10">
        <v>47</v>
      </c>
      <c r="O392" s="10" t="s">
        <v>1949</v>
      </c>
      <c r="P392" s="13">
        <v>46131</v>
      </c>
    </row>
    <row r="393" spans="1:16" x14ac:dyDescent="0.25">
      <c r="A393" s="10" t="s">
        <v>722</v>
      </c>
      <c r="B393" s="10" t="s">
        <v>671</v>
      </c>
      <c r="C393" s="10" t="s">
        <v>11</v>
      </c>
      <c r="D393" s="10" t="s">
        <v>530</v>
      </c>
      <c r="E393" s="10">
        <v>9898887463</v>
      </c>
      <c r="F393" s="12">
        <v>1.8689699074074073</v>
      </c>
      <c r="G393" s="10">
        <v>1251.32</v>
      </c>
      <c r="H393" s="10">
        <v>22445.73</v>
      </c>
      <c r="I393" s="12">
        <v>84.257881944444449</v>
      </c>
      <c r="J393" s="10">
        <v>24</v>
      </c>
      <c r="K393" s="10">
        <v>6</v>
      </c>
      <c r="L393" s="10" t="s">
        <v>1040</v>
      </c>
      <c r="M393" s="10" t="s">
        <v>1041</v>
      </c>
      <c r="N393" s="10">
        <v>679</v>
      </c>
      <c r="O393" s="10" t="s">
        <v>1949</v>
      </c>
      <c r="P393" s="13">
        <v>46069</v>
      </c>
    </row>
    <row r="394" spans="1:16" x14ac:dyDescent="0.25">
      <c r="A394" s="10" t="s">
        <v>723</v>
      </c>
      <c r="B394" s="10" t="s">
        <v>671</v>
      </c>
      <c r="C394" s="10" t="s">
        <v>11</v>
      </c>
      <c r="D394" s="10" t="s">
        <v>530</v>
      </c>
      <c r="E394" s="10">
        <v>9898887463</v>
      </c>
      <c r="F394" s="11">
        <v>0.8560416666666667</v>
      </c>
      <c r="G394" s="10">
        <v>1232.7</v>
      </c>
      <c r="H394" s="10">
        <v>175.78</v>
      </c>
      <c r="I394" s="12">
        <v>84.257881944444449</v>
      </c>
      <c r="J394" s="10">
        <v>21</v>
      </c>
      <c r="K394" s="10">
        <v>10</v>
      </c>
      <c r="L394" s="10" t="s">
        <v>1100</v>
      </c>
      <c r="M394" s="10" t="s">
        <v>1101</v>
      </c>
      <c r="N394" s="10">
        <v>686</v>
      </c>
      <c r="O394" s="10" t="s">
        <v>1950</v>
      </c>
      <c r="P394" s="13">
        <v>46139</v>
      </c>
    </row>
    <row r="395" spans="1:16" x14ac:dyDescent="0.25">
      <c r="A395" s="10" t="s">
        <v>724</v>
      </c>
      <c r="B395" s="10" t="s">
        <v>671</v>
      </c>
      <c r="C395" s="10" t="s">
        <v>11</v>
      </c>
      <c r="D395" s="10" t="s">
        <v>530</v>
      </c>
      <c r="E395" s="10">
        <v>9898887463</v>
      </c>
      <c r="F395" s="11">
        <v>0.40067129629629628</v>
      </c>
      <c r="G395" s="10">
        <v>576.97</v>
      </c>
      <c r="H395" s="10">
        <v>54.61</v>
      </c>
      <c r="I395" s="12">
        <v>84.257881944444449</v>
      </c>
      <c r="J395" s="10">
        <v>12</v>
      </c>
      <c r="K395" s="10">
        <v>8</v>
      </c>
      <c r="L395" s="10" t="s">
        <v>1297</v>
      </c>
      <c r="M395" s="10" t="s">
        <v>1298</v>
      </c>
      <c r="N395" s="10">
        <v>688</v>
      </c>
      <c r="O395" s="10" t="s">
        <v>1950</v>
      </c>
      <c r="P395" s="13">
        <v>46071</v>
      </c>
    </row>
    <row r="396" spans="1:16" x14ac:dyDescent="0.25">
      <c r="A396" s="10" t="s">
        <v>725</v>
      </c>
      <c r="B396" s="10" t="s">
        <v>671</v>
      </c>
      <c r="C396" s="10" t="s">
        <v>11</v>
      </c>
      <c r="D396" s="10" t="s">
        <v>530</v>
      </c>
      <c r="E396" s="10">
        <v>9898887463</v>
      </c>
      <c r="F396" s="11">
        <v>0.27401620370370372</v>
      </c>
      <c r="G396" s="10">
        <v>394.58</v>
      </c>
      <c r="H396" s="10">
        <v>22.7</v>
      </c>
      <c r="I396" s="12">
        <v>84.257881944444449</v>
      </c>
      <c r="J396" s="10">
        <v>2</v>
      </c>
      <c r="K396" s="10">
        <v>0</v>
      </c>
      <c r="L396" s="10" t="s">
        <v>1798</v>
      </c>
      <c r="M396" s="10" t="s">
        <v>1799</v>
      </c>
      <c r="N396" s="10">
        <v>672</v>
      </c>
      <c r="O396" s="10" t="s">
        <v>1950</v>
      </c>
      <c r="P396" s="13">
        <v>45901</v>
      </c>
    </row>
    <row r="397" spans="1:16" x14ac:dyDescent="0.25">
      <c r="A397" s="10" t="s">
        <v>726</v>
      </c>
      <c r="B397" s="10" t="s">
        <v>671</v>
      </c>
      <c r="C397" s="10" t="s">
        <v>11</v>
      </c>
      <c r="D397" s="10" t="s">
        <v>530</v>
      </c>
      <c r="E397" s="10">
        <v>9898887463</v>
      </c>
      <c r="F397" s="12">
        <v>1.8882175925925926</v>
      </c>
      <c r="G397" s="10">
        <v>1279.03</v>
      </c>
      <c r="H397" s="10">
        <v>317.62</v>
      </c>
      <c r="I397" s="12">
        <v>84.257881944444449</v>
      </c>
      <c r="J397" s="10">
        <v>38</v>
      </c>
      <c r="K397" s="10">
        <v>6</v>
      </c>
      <c r="L397" s="10" t="s">
        <v>877</v>
      </c>
      <c r="M397" s="10" t="s">
        <v>878</v>
      </c>
      <c r="N397" s="10">
        <v>678</v>
      </c>
      <c r="O397" s="10" t="s">
        <v>1949</v>
      </c>
      <c r="P397" s="13">
        <v>46134</v>
      </c>
    </row>
    <row r="398" spans="1:16" x14ac:dyDescent="0.25">
      <c r="A398" s="10" t="s">
        <v>727</v>
      </c>
      <c r="B398" s="10" t="s">
        <v>671</v>
      </c>
      <c r="C398" s="10" t="s">
        <v>67</v>
      </c>
      <c r="D398" s="10" t="s">
        <v>728</v>
      </c>
      <c r="E398" s="10">
        <v>7799187969</v>
      </c>
      <c r="F398" s="11">
        <v>5.3483796296296293E-2</v>
      </c>
      <c r="G398" s="10">
        <v>77.02</v>
      </c>
      <c r="H398" s="10">
        <v>2.4500000000000002</v>
      </c>
      <c r="I398" s="12">
        <v>84.339050925925932</v>
      </c>
      <c r="J398" s="10">
        <v>5</v>
      </c>
      <c r="K398" s="10">
        <v>0</v>
      </c>
      <c r="L398" s="10" t="s">
        <v>1567</v>
      </c>
      <c r="M398" s="10" t="s">
        <v>1568</v>
      </c>
      <c r="N398" s="10">
        <v>36</v>
      </c>
      <c r="O398" s="10" t="s">
        <v>1950</v>
      </c>
      <c r="P398" s="13">
        <v>45615</v>
      </c>
    </row>
    <row r="399" spans="1:16" x14ac:dyDescent="0.25">
      <c r="A399" s="10" t="s">
        <v>729</v>
      </c>
      <c r="B399" s="10" t="s">
        <v>671</v>
      </c>
      <c r="C399" s="10" t="s">
        <v>35</v>
      </c>
      <c r="D399" s="10" t="s">
        <v>368</v>
      </c>
      <c r="E399" s="10">
        <v>8448820535</v>
      </c>
      <c r="F399" s="11">
        <v>0.27113425925925927</v>
      </c>
      <c r="G399" s="10">
        <v>390.43</v>
      </c>
      <c r="H399" s="10">
        <v>55.98</v>
      </c>
      <c r="I399" s="12">
        <v>84.334097222222226</v>
      </c>
      <c r="J399" s="10">
        <v>10</v>
      </c>
      <c r="K399" s="10">
        <v>2</v>
      </c>
      <c r="L399" s="10" t="s">
        <v>1365</v>
      </c>
      <c r="M399" s="10" t="s">
        <v>1366</v>
      </c>
      <c r="N399" s="10">
        <v>259</v>
      </c>
      <c r="O399" s="10" t="s">
        <v>1950</v>
      </c>
      <c r="P399" s="13">
        <v>45907</v>
      </c>
    </row>
    <row r="400" spans="1:16" x14ac:dyDescent="0.25">
      <c r="A400" s="10" t="s">
        <v>730</v>
      </c>
      <c r="B400" s="10" t="s">
        <v>671</v>
      </c>
      <c r="C400" s="10" t="s">
        <v>35</v>
      </c>
      <c r="D400" s="10" t="s">
        <v>368</v>
      </c>
      <c r="E400" s="10">
        <v>8448820535</v>
      </c>
      <c r="F400" s="11">
        <v>0.54658564814814814</v>
      </c>
      <c r="G400" s="10">
        <v>787.08</v>
      </c>
      <c r="H400" s="10">
        <v>127.87</v>
      </c>
      <c r="I400" s="12">
        <v>84.334097222222226</v>
      </c>
      <c r="J400" s="10">
        <v>9</v>
      </c>
      <c r="K400" s="10">
        <v>0</v>
      </c>
      <c r="L400" s="10" t="s">
        <v>1402</v>
      </c>
      <c r="M400" s="10" t="s">
        <v>1403</v>
      </c>
      <c r="N400" s="10">
        <v>399</v>
      </c>
      <c r="O400" s="10" t="s">
        <v>1950</v>
      </c>
      <c r="P400" s="13">
        <v>45908</v>
      </c>
    </row>
    <row r="401" spans="1:16" x14ac:dyDescent="0.25">
      <c r="A401" s="10" t="s">
        <v>731</v>
      </c>
      <c r="B401" s="10" t="s">
        <v>671</v>
      </c>
      <c r="C401" s="10" t="s">
        <v>11</v>
      </c>
      <c r="D401" s="10" t="s">
        <v>530</v>
      </c>
      <c r="E401" s="10">
        <v>9898887463</v>
      </c>
      <c r="F401" s="12">
        <v>3.5687384259259258</v>
      </c>
      <c r="G401" s="10">
        <v>818.98</v>
      </c>
      <c r="H401" s="10">
        <v>848.32</v>
      </c>
      <c r="I401" s="12">
        <v>84.257881944444449</v>
      </c>
      <c r="J401" s="10">
        <v>23</v>
      </c>
      <c r="K401" s="10">
        <v>5</v>
      </c>
      <c r="L401" s="10" t="s">
        <v>1052</v>
      </c>
      <c r="M401" s="10" t="s">
        <v>1053</v>
      </c>
      <c r="N401" s="10">
        <v>634</v>
      </c>
      <c r="O401" s="10" t="s">
        <v>1950</v>
      </c>
      <c r="P401" s="13">
        <v>46142</v>
      </c>
    </row>
    <row r="402" spans="1:16" x14ac:dyDescent="0.25">
      <c r="A402" s="10" t="s">
        <v>732</v>
      </c>
      <c r="B402" s="10" t="s">
        <v>671</v>
      </c>
      <c r="C402" s="10" t="s">
        <v>11</v>
      </c>
      <c r="D402" s="10" t="s">
        <v>530</v>
      </c>
      <c r="E402" s="10">
        <v>9898887463</v>
      </c>
      <c r="F402" s="11">
        <v>0.7021412037037037</v>
      </c>
      <c r="G402" s="10">
        <v>1011.08</v>
      </c>
      <c r="H402" s="10">
        <v>75.349999999999994</v>
      </c>
      <c r="I402" s="12">
        <v>84.257881944444449</v>
      </c>
      <c r="J402" s="10">
        <v>8</v>
      </c>
      <c r="K402" s="10">
        <v>1</v>
      </c>
      <c r="L402" s="10" t="s">
        <v>1425</v>
      </c>
      <c r="M402" s="10" t="s">
        <v>1426</v>
      </c>
      <c r="N402" s="10">
        <v>662</v>
      </c>
      <c r="O402" s="10" t="s">
        <v>1950</v>
      </c>
      <c r="P402" s="13">
        <v>45989</v>
      </c>
    </row>
    <row r="403" spans="1:16" x14ac:dyDescent="0.25">
      <c r="A403" s="10" t="s">
        <v>733</v>
      </c>
      <c r="B403" s="10" t="s">
        <v>671</v>
      </c>
      <c r="C403" s="10" t="s">
        <v>35</v>
      </c>
      <c r="D403" s="10" t="s">
        <v>368</v>
      </c>
      <c r="E403" s="10">
        <v>8448820535</v>
      </c>
      <c r="F403" s="11">
        <v>0.1794212962962963</v>
      </c>
      <c r="G403" s="10">
        <v>258.37</v>
      </c>
      <c r="H403" s="10">
        <v>13.13</v>
      </c>
      <c r="I403" s="12">
        <v>84.334097222222226</v>
      </c>
      <c r="J403" s="10">
        <v>9</v>
      </c>
      <c r="K403" s="10">
        <v>4</v>
      </c>
      <c r="L403" s="10" t="s">
        <v>1396</v>
      </c>
      <c r="M403" s="10" t="s">
        <v>1397</v>
      </c>
      <c r="N403" s="10">
        <v>217</v>
      </c>
      <c r="O403" s="10" t="s">
        <v>1950</v>
      </c>
      <c r="P403" s="13">
        <v>45549</v>
      </c>
    </row>
    <row r="404" spans="1:16" x14ac:dyDescent="0.25">
      <c r="A404" s="10" t="s">
        <v>734</v>
      </c>
      <c r="B404" s="10" t="s">
        <v>671</v>
      </c>
      <c r="C404" s="10" t="s">
        <v>35</v>
      </c>
      <c r="D404" s="10" t="s">
        <v>368</v>
      </c>
      <c r="E404" s="10">
        <v>8448820535</v>
      </c>
      <c r="F404" s="11">
        <v>0.94190972222222225</v>
      </c>
      <c r="G404" s="10">
        <v>1356.35</v>
      </c>
      <c r="H404" s="10">
        <v>157.33000000000001</v>
      </c>
      <c r="I404" s="12">
        <v>84.334097222222226</v>
      </c>
      <c r="J404" s="10">
        <v>19</v>
      </c>
      <c r="K404" s="10">
        <v>6</v>
      </c>
      <c r="L404" s="10" t="s">
        <v>1128</v>
      </c>
      <c r="M404" s="10" t="s">
        <v>1129</v>
      </c>
      <c r="N404" s="10">
        <v>217</v>
      </c>
      <c r="O404" s="10" t="s">
        <v>1949</v>
      </c>
      <c r="P404" s="13">
        <v>45841</v>
      </c>
    </row>
    <row r="405" spans="1:16" x14ac:dyDescent="0.25">
      <c r="A405" s="10" t="s">
        <v>735</v>
      </c>
      <c r="B405" s="10" t="s">
        <v>671</v>
      </c>
      <c r="C405" s="10" t="s">
        <v>11</v>
      </c>
      <c r="D405" s="10" t="s">
        <v>530</v>
      </c>
      <c r="E405" s="10">
        <v>9898887463</v>
      </c>
      <c r="F405" s="11">
        <v>0.4946990740740741</v>
      </c>
      <c r="G405" s="10">
        <v>712.37</v>
      </c>
      <c r="H405" s="10">
        <v>82.76</v>
      </c>
      <c r="I405" s="12">
        <v>84.257881944444449</v>
      </c>
      <c r="J405" s="10">
        <v>14</v>
      </c>
      <c r="K405" s="10">
        <v>4</v>
      </c>
      <c r="L405" s="10" t="s">
        <v>1248</v>
      </c>
      <c r="M405" s="10" t="s">
        <v>1249</v>
      </c>
      <c r="N405" s="10">
        <v>661</v>
      </c>
      <c r="O405" s="10" t="s">
        <v>1950</v>
      </c>
      <c r="P405" s="13">
        <v>46078</v>
      </c>
    </row>
    <row r="406" spans="1:16" x14ac:dyDescent="0.25">
      <c r="A406" s="10" t="s">
        <v>736</v>
      </c>
      <c r="B406" s="10" t="s">
        <v>671</v>
      </c>
      <c r="C406" s="10" t="s">
        <v>76</v>
      </c>
      <c r="D406" s="10" t="s">
        <v>672</v>
      </c>
      <c r="E406" s="10">
        <v>9717517538</v>
      </c>
      <c r="F406" s="11">
        <v>0.63552083333333331</v>
      </c>
      <c r="G406" s="10">
        <v>915.15</v>
      </c>
      <c r="H406" s="10">
        <v>109.46</v>
      </c>
      <c r="I406" s="12">
        <v>84.339074074074077</v>
      </c>
      <c r="J406" s="10">
        <v>4</v>
      </c>
      <c r="K406" s="10">
        <v>1</v>
      </c>
      <c r="L406" s="10" t="s">
        <v>1620</v>
      </c>
      <c r="M406" s="10" t="s">
        <v>1621</v>
      </c>
      <c r="N406" s="10">
        <v>389</v>
      </c>
      <c r="O406" s="10" t="s">
        <v>1949</v>
      </c>
      <c r="P406" s="13">
        <v>45916</v>
      </c>
    </row>
    <row r="407" spans="1:16" x14ac:dyDescent="0.25">
      <c r="A407" s="10" t="s">
        <v>737</v>
      </c>
      <c r="B407" s="10" t="s">
        <v>671</v>
      </c>
      <c r="C407" s="10" t="s">
        <v>76</v>
      </c>
      <c r="D407" s="10" t="s">
        <v>672</v>
      </c>
      <c r="E407" s="10">
        <v>9717517538</v>
      </c>
      <c r="F407" s="12">
        <v>1.5555439814814815</v>
      </c>
      <c r="G407" s="10">
        <v>799.98</v>
      </c>
      <c r="H407" s="10">
        <v>334.12</v>
      </c>
      <c r="I407" s="12">
        <v>84.339074074074077</v>
      </c>
      <c r="J407" s="10">
        <v>6</v>
      </c>
      <c r="K407" s="10">
        <v>2</v>
      </c>
      <c r="L407" s="10" t="s">
        <v>1523</v>
      </c>
      <c r="M407" s="10" t="s">
        <v>1524</v>
      </c>
      <c r="N407" s="10">
        <v>364</v>
      </c>
      <c r="O407" s="10" t="s">
        <v>1949</v>
      </c>
      <c r="P407" s="13">
        <v>46066</v>
      </c>
    </row>
    <row r="408" spans="1:16" x14ac:dyDescent="0.25">
      <c r="A408" s="10" t="s">
        <v>738</v>
      </c>
      <c r="B408" s="10" t="s">
        <v>671</v>
      </c>
      <c r="C408" s="10" t="s">
        <v>76</v>
      </c>
      <c r="D408" s="10" t="s">
        <v>672</v>
      </c>
      <c r="E408" s="10">
        <v>9717517538</v>
      </c>
      <c r="F408" s="12">
        <v>2.5739583333333331</v>
      </c>
      <c r="G408" s="10">
        <v>826.5</v>
      </c>
      <c r="H408" s="10">
        <v>607.82000000000005</v>
      </c>
      <c r="I408" s="12">
        <v>84.339074074074077</v>
      </c>
      <c r="J408" s="10">
        <v>8</v>
      </c>
      <c r="K408" s="10">
        <v>5</v>
      </c>
      <c r="L408" s="10" t="s">
        <v>1431</v>
      </c>
      <c r="M408" s="10" t="s">
        <v>1432</v>
      </c>
      <c r="N408" s="10">
        <v>338</v>
      </c>
      <c r="O408" s="10" t="s">
        <v>1949</v>
      </c>
      <c r="P408" s="13">
        <v>46076</v>
      </c>
    </row>
    <row r="409" spans="1:16" x14ac:dyDescent="0.25">
      <c r="A409" s="10" t="s">
        <v>739</v>
      </c>
      <c r="B409" s="10" t="s">
        <v>671</v>
      </c>
      <c r="C409" s="10" t="s">
        <v>76</v>
      </c>
      <c r="D409" s="10" t="s">
        <v>672</v>
      </c>
      <c r="E409" s="10">
        <v>9717517538</v>
      </c>
      <c r="F409" s="11">
        <v>0.44737268518518519</v>
      </c>
      <c r="G409" s="10">
        <v>644.22</v>
      </c>
      <c r="H409" s="10">
        <v>93.66</v>
      </c>
      <c r="I409" s="12">
        <v>84.339074074074077</v>
      </c>
      <c r="J409" s="10">
        <v>6</v>
      </c>
      <c r="K409" s="10">
        <v>0</v>
      </c>
      <c r="L409" s="10" t="s">
        <v>1527</v>
      </c>
      <c r="M409" s="10" t="s">
        <v>1528</v>
      </c>
      <c r="N409" s="10">
        <v>430</v>
      </c>
      <c r="O409" s="10" t="s">
        <v>1950</v>
      </c>
      <c r="P409" s="13">
        <v>46076</v>
      </c>
    </row>
    <row r="410" spans="1:16" x14ac:dyDescent="0.25">
      <c r="A410" s="10" t="s">
        <v>740</v>
      </c>
      <c r="B410" s="10" t="s">
        <v>671</v>
      </c>
      <c r="C410" s="10" t="s">
        <v>150</v>
      </c>
      <c r="D410" s="10" t="s">
        <v>150</v>
      </c>
      <c r="E410" s="10">
        <v>9569056812</v>
      </c>
      <c r="F410" s="11">
        <v>0.17335648148148147</v>
      </c>
      <c r="G410" s="10">
        <v>249.63</v>
      </c>
      <c r="H410" s="10">
        <v>19.5</v>
      </c>
      <c r="I410" s="12">
        <v>84.383668981481478</v>
      </c>
      <c r="J410" s="10">
        <v>2</v>
      </c>
      <c r="K410" s="10">
        <v>1</v>
      </c>
      <c r="L410" s="10" t="s">
        <v>1829</v>
      </c>
      <c r="M410" s="10" t="s">
        <v>1830</v>
      </c>
      <c r="N410" s="10">
        <v>9</v>
      </c>
      <c r="O410" s="10" t="s">
        <v>1950</v>
      </c>
      <c r="P410" s="13">
        <v>46088</v>
      </c>
    </row>
    <row r="411" spans="1:16" x14ac:dyDescent="0.25">
      <c r="A411" s="10" t="s">
        <v>741</v>
      </c>
      <c r="B411" s="10" t="s">
        <v>671</v>
      </c>
      <c r="C411" s="10" t="s">
        <v>76</v>
      </c>
      <c r="D411" s="10" t="s">
        <v>672</v>
      </c>
      <c r="E411" s="10">
        <v>9717517538</v>
      </c>
      <c r="F411" s="11">
        <v>0.77063657407407404</v>
      </c>
      <c r="G411" s="10">
        <v>1109.72</v>
      </c>
      <c r="H411" s="10">
        <v>125.66</v>
      </c>
      <c r="I411" s="12">
        <v>84.339074074074077</v>
      </c>
      <c r="J411" s="10">
        <v>8</v>
      </c>
      <c r="K411" s="10">
        <v>3</v>
      </c>
      <c r="L411" s="10" t="s">
        <v>1433</v>
      </c>
      <c r="M411" s="10" t="s">
        <v>1434</v>
      </c>
      <c r="N411" s="10">
        <v>353</v>
      </c>
      <c r="O411" s="10" t="s">
        <v>1949</v>
      </c>
      <c r="P411" s="13">
        <v>46132</v>
      </c>
    </row>
    <row r="412" spans="1:16" x14ac:dyDescent="0.25">
      <c r="A412" s="10" t="s">
        <v>742</v>
      </c>
      <c r="B412" s="10" t="s">
        <v>671</v>
      </c>
      <c r="C412" s="10" t="s">
        <v>76</v>
      </c>
      <c r="D412" s="10" t="s">
        <v>672</v>
      </c>
      <c r="E412" s="10">
        <v>9717517538</v>
      </c>
      <c r="F412" s="12">
        <v>1.8096759259259259</v>
      </c>
      <c r="G412" s="10">
        <v>1165.93</v>
      </c>
      <c r="H412" s="10">
        <v>361.19</v>
      </c>
      <c r="I412" s="12">
        <v>84.339074074074077</v>
      </c>
      <c r="J412" s="10">
        <v>5</v>
      </c>
      <c r="K412" s="10">
        <v>1</v>
      </c>
      <c r="L412" s="10" t="s">
        <v>1580</v>
      </c>
      <c r="M412" s="10" t="s">
        <v>1581</v>
      </c>
      <c r="N412" s="10">
        <v>350</v>
      </c>
      <c r="O412" s="10" t="s">
        <v>1950</v>
      </c>
      <c r="P412" s="13">
        <v>46046</v>
      </c>
    </row>
    <row r="413" spans="1:16" x14ac:dyDescent="0.25">
      <c r="A413" s="10" t="s">
        <v>743</v>
      </c>
      <c r="B413" s="10" t="s">
        <v>671</v>
      </c>
      <c r="C413" s="10" t="s">
        <v>76</v>
      </c>
      <c r="D413" s="10" t="s">
        <v>672</v>
      </c>
      <c r="E413" s="10">
        <v>9717517538</v>
      </c>
      <c r="F413" s="10" t="s">
        <v>309</v>
      </c>
      <c r="G413" s="10"/>
      <c r="H413" s="10">
        <v>0</v>
      </c>
      <c r="I413" s="12">
        <v>84.339074074074077</v>
      </c>
      <c r="J413" s="10">
        <v>3</v>
      </c>
      <c r="K413" s="10">
        <v>3</v>
      </c>
      <c r="L413" s="10" t="s">
        <v>1719</v>
      </c>
      <c r="M413" s="10" t="s">
        <v>1720</v>
      </c>
      <c r="N413" s="10">
        <v>349</v>
      </c>
      <c r="O413" s="10" t="s">
        <v>1949</v>
      </c>
      <c r="P413" s="10"/>
    </row>
    <row r="414" spans="1:16" x14ac:dyDescent="0.25">
      <c r="A414" s="10" t="s">
        <v>744</v>
      </c>
      <c r="B414" s="10" t="s">
        <v>671</v>
      </c>
      <c r="C414" s="10" t="s">
        <v>152</v>
      </c>
      <c r="D414" s="10" t="s">
        <v>152</v>
      </c>
      <c r="E414" s="10">
        <v>9704839340</v>
      </c>
      <c r="F414" s="11">
        <v>0.11844907407407407</v>
      </c>
      <c r="G414" s="10">
        <v>170.57</v>
      </c>
      <c r="H414" s="10">
        <v>11.43</v>
      </c>
      <c r="I414" s="12">
        <v>84.417384259259265</v>
      </c>
      <c r="J414" s="10">
        <v>2</v>
      </c>
      <c r="K414" s="10">
        <v>0</v>
      </c>
      <c r="L414" s="10" t="s">
        <v>1814</v>
      </c>
      <c r="M414" s="10" t="s">
        <v>1815</v>
      </c>
      <c r="N414" s="10">
        <v>-225</v>
      </c>
      <c r="O414" s="10" t="s">
        <v>1950</v>
      </c>
      <c r="P414" s="13">
        <v>46062</v>
      </c>
    </row>
    <row r="415" spans="1:16" x14ac:dyDescent="0.25">
      <c r="A415" s="10" t="s">
        <v>745</v>
      </c>
      <c r="B415" s="10" t="s">
        <v>671</v>
      </c>
      <c r="C415" s="10" t="s">
        <v>129</v>
      </c>
      <c r="D415" s="10" t="s">
        <v>746</v>
      </c>
      <c r="E415" s="10">
        <v>7756095516</v>
      </c>
      <c r="F415" s="12">
        <v>1.006886574074074</v>
      </c>
      <c r="G415" s="10">
        <v>9.92</v>
      </c>
      <c r="H415" s="10">
        <v>228.79</v>
      </c>
      <c r="I415" s="12">
        <v>84.381307870370364</v>
      </c>
      <c r="J415" s="10">
        <v>7</v>
      </c>
      <c r="K415" s="10">
        <v>1</v>
      </c>
      <c r="L415" s="10" t="s">
        <v>1471</v>
      </c>
      <c r="M415" s="10" t="s">
        <v>1472</v>
      </c>
      <c r="N415" s="10">
        <v>-106</v>
      </c>
      <c r="O415" s="10" t="s">
        <v>1950</v>
      </c>
      <c r="P415" s="13">
        <v>46021</v>
      </c>
    </row>
    <row r="416" spans="1:16" x14ac:dyDescent="0.25">
      <c r="A416" s="10" t="s">
        <v>747</v>
      </c>
      <c r="B416" s="10" t="s">
        <v>671</v>
      </c>
      <c r="C416" s="10" t="s">
        <v>157</v>
      </c>
      <c r="D416" s="10" t="s">
        <v>748</v>
      </c>
      <c r="E416" s="10">
        <v>7042118352</v>
      </c>
      <c r="F416" s="11">
        <v>0.21209490740740741</v>
      </c>
      <c r="G416" s="10">
        <v>305.42</v>
      </c>
      <c r="H416" s="10">
        <v>17.940000000000001</v>
      </c>
      <c r="I416" s="12">
        <v>84.418796296296293</v>
      </c>
      <c r="J416" s="10">
        <v>4</v>
      </c>
      <c r="K416" s="10">
        <v>1</v>
      </c>
      <c r="L416" s="10" t="s">
        <v>1626</v>
      </c>
      <c r="M416" s="10" t="s">
        <v>1627</v>
      </c>
      <c r="N416" s="10">
        <v>36</v>
      </c>
      <c r="O416" s="10" t="s">
        <v>1949</v>
      </c>
      <c r="P416" s="13">
        <v>46150</v>
      </c>
    </row>
    <row r="417" spans="1:16" x14ac:dyDescent="0.25">
      <c r="A417" s="10" t="s">
        <v>749</v>
      </c>
      <c r="B417" s="10" t="s">
        <v>671</v>
      </c>
      <c r="C417" s="10" t="s">
        <v>125</v>
      </c>
      <c r="D417" s="10" t="s">
        <v>551</v>
      </c>
      <c r="E417" s="10">
        <v>9428102150</v>
      </c>
      <c r="F417" s="11">
        <v>3.6111111111111108E-2</v>
      </c>
      <c r="G417" s="10">
        <v>52</v>
      </c>
      <c r="H417" s="10">
        <v>3.83</v>
      </c>
      <c r="I417" s="12">
        <v>84.380798611111118</v>
      </c>
      <c r="J417" s="10">
        <v>1</v>
      </c>
      <c r="K417" s="10">
        <v>0</v>
      </c>
      <c r="L417" s="10" t="s">
        <v>1948</v>
      </c>
      <c r="M417" s="10" t="s">
        <v>1948</v>
      </c>
      <c r="N417" s="10">
        <v>257</v>
      </c>
      <c r="O417" s="10" t="s">
        <v>1950</v>
      </c>
      <c r="P417" s="13">
        <v>46144</v>
      </c>
    </row>
    <row r="418" spans="1:16" x14ac:dyDescent="0.25">
      <c r="A418" s="10" t="s">
        <v>750</v>
      </c>
      <c r="B418" s="10" t="s">
        <v>671</v>
      </c>
      <c r="C418" s="10" t="s">
        <v>125</v>
      </c>
      <c r="D418" s="10" t="s">
        <v>551</v>
      </c>
      <c r="E418" s="10">
        <v>9428102150</v>
      </c>
      <c r="F418" s="11">
        <v>1.8206018518518517E-2</v>
      </c>
      <c r="G418" s="10">
        <v>26.22</v>
      </c>
      <c r="H418" s="10">
        <v>0.79</v>
      </c>
      <c r="I418" s="12">
        <v>84.380798611111118</v>
      </c>
      <c r="J418" s="10">
        <v>3</v>
      </c>
      <c r="K418" s="10">
        <v>2</v>
      </c>
      <c r="L418" s="10" t="s">
        <v>1715</v>
      </c>
      <c r="M418" s="10" t="s">
        <v>1716</v>
      </c>
      <c r="N418" s="10">
        <v>-94</v>
      </c>
      <c r="O418" s="10" t="s">
        <v>1949</v>
      </c>
      <c r="P418" s="13">
        <v>45933</v>
      </c>
    </row>
    <row r="419" spans="1:16" x14ac:dyDescent="0.25">
      <c r="A419" s="10" t="s">
        <v>751</v>
      </c>
      <c r="B419" s="10" t="s">
        <v>671</v>
      </c>
      <c r="C419" s="10" t="s">
        <v>135</v>
      </c>
      <c r="D419" s="10" t="s">
        <v>752</v>
      </c>
      <c r="E419" s="10">
        <v>8874036529</v>
      </c>
      <c r="F419" s="11">
        <v>0.97846064814814815</v>
      </c>
      <c r="G419" s="10">
        <v>1408.98</v>
      </c>
      <c r="H419" s="10">
        <v>134.43</v>
      </c>
      <c r="I419" s="12">
        <v>84.381435185185182</v>
      </c>
      <c r="J419" s="10">
        <v>6</v>
      </c>
      <c r="K419" s="10">
        <v>1</v>
      </c>
      <c r="L419" s="10" t="s">
        <v>1525</v>
      </c>
      <c r="M419" s="10" t="s">
        <v>1526</v>
      </c>
      <c r="N419" s="10">
        <v>24</v>
      </c>
      <c r="O419" s="10" t="s">
        <v>1950</v>
      </c>
      <c r="P419" s="13">
        <v>46115</v>
      </c>
    </row>
    <row r="420" spans="1:16" x14ac:dyDescent="0.25">
      <c r="A420" s="10" t="s">
        <v>753</v>
      </c>
      <c r="B420" s="10" t="s">
        <v>671</v>
      </c>
      <c r="C420" s="10" t="s">
        <v>136</v>
      </c>
      <c r="D420" s="10" t="s">
        <v>136</v>
      </c>
      <c r="E420" s="10">
        <v>8874036259</v>
      </c>
      <c r="F420" s="11">
        <v>0.63967592592592593</v>
      </c>
      <c r="G420" s="10">
        <v>921.13</v>
      </c>
      <c r="H420" s="10">
        <v>27716.25</v>
      </c>
      <c r="I420" s="12">
        <v>84.381446759259262</v>
      </c>
      <c r="J420" s="10">
        <v>8</v>
      </c>
      <c r="K420" s="10">
        <v>1</v>
      </c>
      <c r="L420" s="10" t="s">
        <v>1439</v>
      </c>
      <c r="M420" s="10" t="s">
        <v>1440</v>
      </c>
      <c r="N420" s="10">
        <v>9</v>
      </c>
      <c r="O420" s="10" t="s">
        <v>1949</v>
      </c>
      <c r="P420" s="13">
        <v>46153</v>
      </c>
    </row>
    <row r="421" spans="1:16" x14ac:dyDescent="0.25">
      <c r="A421" s="10" t="s">
        <v>754</v>
      </c>
      <c r="B421" s="10" t="s">
        <v>671</v>
      </c>
      <c r="C421" s="10" t="s">
        <v>154</v>
      </c>
      <c r="D421" s="10" t="s">
        <v>755</v>
      </c>
      <c r="E421" s="10">
        <v>9489741773</v>
      </c>
      <c r="F421" s="11">
        <v>6.1643518518518521E-2</v>
      </c>
      <c r="G421" s="10">
        <v>88.77</v>
      </c>
      <c r="H421" s="10">
        <v>7.42</v>
      </c>
      <c r="I421" s="12">
        <v>84.418263888888887</v>
      </c>
      <c r="J421" s="10"/>
      <c r="K421" s="10"/>
      <c r="L421" s="10"/>
      <c r="M421" s="10"/>
      <c r="N421" s="10"/>
      <c r="O421" s="10" t="s">
        <v>1950</v>
      </c>
      <c r="P421" s="13">
        <v>46114</v>
      </c>
    </row>
    <row r="422" spans="1:16" x14ac:dyDescent="0.25">
      <c r="A422" s="10" t="s">
        <v>756</v>
      </c>
      <c r="B422" s="10" t="s">
        <v>671</v>
      </c>
      <c r="C422" s="10" t="s">
        <v>125</v>
      </c>
      <c r="D422" s="10" t="s">
        <v>551</v>
      </c>
      <c r="E422" s="10">
        <v>9428102150</v>
      </c>
      <c r="F422" s="11">
        <v>0.99655092592592598</v>
      </c>
      <c r="G422" s="10">
        <v>1435.03</v>
      </c>
      <c r="H422" s="10">
        <v>240.85</v>
      </c>
      <c r="I422" s="12">
        <v>84.380798611111118</v>
      </c>
      <c r="J422" s="10">
        <v>5</v>
      </c>
      <c r="K422" s="10">
        <v>1</v>
      </c>
      <c r="L422" s="10" t="s">
        <v>1571</v>
      </c>
      <c r="M422" s="10" t="s">
        <v>1572</v>
      </c>
      <c r="N422" s="10">
        <v>-93</v>
      </c>
      <c r="O422" s="10" t="s">
        <v>1949</v>
      </c>
      <c r="P422" s="13">
        <v>46084</v>
      </c>
    </row>
    <row r="423" spans="1:16" x14ac:dyDescent="0.25">
      <c r="A423" s="10" t="s">
        <v>757</v>
      </c>
      <c r="B423" s="10" t="s">
        <v>671</v>
      </c>
      <c r="C423" s="10" t="s">
        <v>125</v>
      </c>
      <c r="D423" s="10" t="s">
        <v>551</v>
      </c>
      <c r="E423" s="10">
        <v>9428102150</v>
      </c>
      <c r="F423" s="11">
        <v>1.9583333333333335E-2</v>
      </c>
      <c r="G423" s="10">
        <v>28.2</v>
      </c>
      <c r="H423" s="10">
        <v>1.7</v>
      </c>
      <c r="I423" s="12">
        <v>84.380798611111118</v>
      </c>
      <c r="J423" s="10"/>
      <c r="K423" s="10"/>
      <c r="L423" s="10"/>
      <c r="M423" s="10"/>
      <c r="N423" s="10"/>
      <c r="O423" s="10" t="s">
        <v>1950</v>
      </c>
      <c r="P423" s="13">
        <v>45943</v>
      </c>
    </row>
    <row r="424" spans="1:16" x14ac:dyDescent="0.25">
      <c r="A424" s="10" t="s">
        <v>758</v>
      </c>
      <c r="B424" s="10" t="s">
        <v>671</v>
      </c>
      <c r="C424" s="10" t="s">
        <v>157</v>
      </c>
      <c r="D424" s="10" t="s">
        <v>748</v>
      </c>
      <c r="E424" s="10">
        <v>7042118352</v>
      </c>
      <c r="F424" s="11">
        <v>0.10001157407407407</v>
      </c>
      <c r="G424" s="10">
        <v>144.02000000000001</v>
      </c>
      <c r="H424" s="10">
        <v>6.33</v>
      </c>
      <c r="I424" s="12">
        <v>84.418796296296293</v>
      </c>
      <c r="J424" s="10">
        <v>3</v>
      </c>
      <c r="K424" s="10">
        <v>1</v>
      </c>
      <c r="L424" s="10" t="s">
        <v>1728</v>
      </c>
      <c r="M424" s="10" t="s">
        <v>1729</v>
      </c>
      <c r="N424" s="10">
        <v>15</v>
      </c>
      <c r="O424" s="10" t="s">
        <v>1949</v>
      </c>
      <c r="P424" s="13">
        <v>46154</v>
      </c>
    </row>
    <row r="425" spans="1:16" x14ac:dyDescent="0.25">
      <c r="A425" s="10" t="s">
        <v>759</v>
      </c>
      <c r="B425" s="10" t="s">
        <v>671</v>
      </c>
      <c r="C425" s="10" t="s">
        <v>157</v>
      </c>
      <c r="D425" s="10" t="s">
        <v>748</v>
      </c>
      <c r="E425" s="10">
        <v>7042118352</v>
      </c>
      <c r="F425" s="11">
        <v>2.3495370370370371E-2</v>
      </c>
      <c r="G425" s="10">
        <v>33.83</v>
      </c>
      <c r="H425" s="10">
        <v>1.79</v>
      </c>
      <c r="I425" s="12">
        <v>84.418796296296293</v>
      </c>
      <c r="J425" s="10">
        <v>1</v>
      </c>
      <c r="K425" s="10">
        <v>1</v>
      </c>
      <c r="L425" s="10" t="s">
        <v>1946</v>
      </c>
      <c r="M425" s="10" t="s">
        <v>1946</v>
      </c>
      <c r="N425" s="10">
        <v>28</v>
      </c>
      <c r="O425" s="10" t="s">
        <v>1949</v>
      </c>
      <c r="P425" s="13">
        <v>46079</v>
      </c>
    </row>
    <row r="426" spans="1:16" x14ac:dyDescent="0.25">
      <c r="A426" s="10" t="s">
        <v>760</v>
      </c>
      <c r="B426" s="10" t="s">
        <v>671</v>
      </c>
      <c r="C426" s="10" t="s">
        <v>125</v>
      </c>
      <c r="D426" s="10" t="s">
        <v>551</v>
      </c>
      <c r="E426" s="10">
        <v>9428102150</v>
      </c>
      <c r="F426" s="11">
        <v>5.0543981481481481E-2</v>
      </c>
      <c r="G426" s="10">
        <v>72.78</v>
      </c>
      <c r="H426" s="10">
        <v>3.52</v>
      </c>
      <c r="I426" s="12">
        <v>84.380798611111118</v>
      </c>
      <c r="J426" s="10"/>
      <c r="K426" s="10"/>
      <c r="L426" s="10"/>
      <c r="M426" s="10"/>
      <c r="N426" s="10"/>
      <c r="O426" s="10" t="s">
        <v>1950</v>
      </c>
      <c r="P426" s="13">
        <v>46131</v>
      </c>
    </row>
    <row r="427" spans="1:16" x14ac:dyDescent="0.25">
      <c r="A427" s="10" t="s">
        <v>761</v>
      </c>
      <c r="B427" s="10" t="s">
        <v>671</v>
      </c>
      <c r="C427" s="10" t="s">
        <v>125</v>
      </c>
      <c r="D427" s="10" t="s">
        <v>551</v>
      </c>
      <c r="E427" s="10">
        <v>9428102150</v>
      </c>
      <c r="F427" s="11">
        <v>3.8692129629629632E-2</v>
      </c>
      <c r="G427" s="10">
        <v>55.72</v>
      </c>
      <c r="H427" s="10">
        <v>2.62</v>
      </c>
      <c r="I427" s="12">
        <v>84.380798611111118</v>
      </c>
      <c r="J427" s="10"/>
      <c r="K427" s="10"/>
      <c r="L427" s="10"/>
      <c r="M427" s="10"/>
      <c r="N427" s="10"/>
      <c r="O427" s="10" t="s">
        <v>1950</v>
      </c>
      <c r="P427" s="13">
        <v>46081</v>
      </c>
    </row>
    <row r="428" spans="1:16" x14ac:dyDescent="0.25">
      <c r="A428" s="10" t="s">
        <v>762</v>
      </c>
      <c r="B428" s="10" t="s">
        <v>671</v>
      </c>
      <c r="C428" s="10" t="s">
        <v>11</v>
      </c>
      <c r="D428" s="10" t="s">
        <v>530</v>
      </c>
      <c r="E428" s="10">
        <v>9898887463</v>
      </c>
      <c r="F428" s="11">
        <v>0.51134259259259263</v>
      </c>
      <c r="G428" s="10">
        <v>736.33</v>
      </c>
      <c r="H428" s="10">
        <v>96.94</v>
      </c>
      <c r="I428" s="12">
        <v>84.257881944444449</v>
      </c>
      <c r="J428" s="10">
        <v>2</v>
      </c>
      <c r="K428" s="10">
        <v>1</v>
      </c>
      <c r="L428" s="10" t="s">
        <v>1831</v>
      </c>
      <c r="M428" s="10" t="s">
        <v>1832</v>
      </c>
      <c r="N428" s="10">
        <v>1166</v>
      </c>
      <c r="O428" s="10" t="s">
        <v>1950</v>
      </c>
      <c r="P428" s="13">
        <v>46099</v>
      </c>
    </row>
    <row r="429" spans="1:16" x14ac:dyDescent="0.25">
      <c r="A429" s="10" t="s">
        <v>763</v>
      </c>
      <c r="B429" s="10" t="s">
        <v>671</v>
      </c>
      <c r="C429" s="10" t="s">
        <v>144</v>
      </c>
      <c r="D429" s="10" t="s">
        <v>764</v>
      </c>
      <c r="E429" s="10">
        <v>7666505231</v>
      </c>
      <c r="F429" s="12">
        <v>3.7233912037037036</v>
      </c>
      <c r="G429" s="10">
        <v>1041.68</v>
      </c>
      <c r="H429" s="10">
        <v>939.39</v>
      </c>
      <c r="I429" s="12">
        <v>84.382268518518515</v>
      </c>
      <c r="J429" s="10">
        <v>24</v>
      </c>
      <c r="K429" s="10">
        <v>3</v>
      </c>
      <c r="L429" s="10" t="s">
        <v>1046</v>
      </c>
      <c r="M429" s="10" t="s">
        <v>1047</v>
      </c>
      <c r="N429" s="10">
        <v>-104</v>
      </c>
      <c r="O429" s="10" t="s">
        <v>1949</v>
      </c>
      <c r="P429" s="13">
        <v>46068</v>
      </c>
    </row>
    <row r="430" spans="1:16" x14ac:dyDescent="0.25">
      <c r="A430" s="10" t="s">
        <v>765</v>
      </c>
      <c r="B430" s="10" t="s">
        <v>671</v>
      </c>
      <c r="C430" s="10" t="s">
        <v>125</v>
      </c>
      <c r="D430" s="10" t="s">
        <v>551</v>
      </c>
      <c r="E430" s="10">
        <v>9428102150</v>
      </c>
      <c r="F430" s="11">
        <v>6.9490740740740742E-2</v>
      </c>
      <c r="G430" s="10">
        <v>100.07</v>
      </c>
      <c r="H430" s="10">
        <v>4.5599999999999996</v>
      </c>
      <c r="I430" s="12">
        <v>84.380798611111118</v>
      </c>
      <c r="J430" s="10"/>
      <c r="K430" s="10"/>
      <c r="L430" s="10"/>
      <c r="M430" s="10"/>
      <c r="N430" s="10"/>
      <c r="O430" s="10" t="s">
        <v>1950</v>
      </c>
      <c r="P430" s="13">
        <v>46136</v>
      </c>
    </row>
    <row r="431" spans="1:16" x14ac:dyDescent="0.25">
      <c r="A431" s="10" t="s">
        <v>766</v>
      </c>
      <c r="B431" s="10" t="s">
        <v>671</v>
      </c>
      <c r="C431" s="10" t="s">
        <v>125</v>
      </c>
      <c r="D431" s="10" t="s">
        <v>551</v>
      </c>
      <c r="E431" s="10">
        <v>9428102150</v>
      </c>
      <c r="F431" s="12">
        <v>1.5469097222222221</v>
      </c>
      <c r="G431" s="10">
        <v>787.55</v>
      </c>
      <c r="H431" s="10">
        <v>356.15</v>
      </c>
      <c r="I431" s="12">
        <v>84.380798611111118</v>
      </c>
      <c r="J431" s="10">
        <v>2</v>
      </c>
      <c r="K431" s="10">
        <v>1</v>
      </c>
      <c r="L431" s="10" t="s">
        <v>1833</v>
      </c>
      <c r="M431" s="10" t="s">
        <v>1834</v>
      </c>
      <c r="N431" s="10">
        <v>206</v>
      </c>
      <c r="O431" s="10" t="s">
        <v>1949</v>
      </c>
      <c r="P431" s="13">
        <v>46125</v>
      </c>
    </row>
    <row r="432" spans="1:16" x14ac:dyDescent="0.25">
      <c r="A432" s="10" t="s">
        <v>767</v>
      </c>
      <c r="B432" s="10" t="s">
        <v>671</v>
      </c>
      <c r="C432" s="10" t="s">
        <v>147</v>
      </c>
      <c r="D432" s="10" t="s">
        <v>768</v>
      </c>
      <c r="E432" s="10">
        <v>9529778170</v>
      </c>
      <c r="F432" s="11">
        <v>2.1944444444444444E-2</v>
      </c>
      <c r="G432" s="10">
        <v>31.6</v>
      </c>
      <c r="H432" s="10">
        <v>1.63</v>
      </c>
      <c r="I432" s="12">
        <v>84.382268518518515</v>
      </c>
      <c r="J432" s="10"/>
      <c r="K432" s="10"/>
      <c r="L432" s="10"/>
      <c r="M432" s="10"/>
      <c r="N432" s="10"/>
      <c r="O432" s="10" t="s">
        <v>1950</v>
      </c>
      <c r="P432" s="13">
        <v>45938</v>
      </c>
    </row>
    <row r="433" spans="1:16" x14ac:dyDescent="0.25">
      <c r="A433" s="10" t="s">
        <v>769</v>
      </c>
      <c r="B433" s="10" t="s">
        <v>671</v>
      </c>
      <c r="C433" s="10" t="s">
        <v>146</v>
      </c>
      <c r="D433" s="10" t="s">
        <v>146</v>
      </c>
      <c r="E433" s="10">
        <v>9621359626</v>
      </c>
      <c r="F433" s="11">
        <v>0.36859953703703702</v>
      </c>
      <c r="G433" s="10">
        <v>530.78</v>
      </c>
      <c r="H433" s="10">
        <v>15.05</v>
      </c>
      <c r="I433" s="12">
        <v>84.382268518518515</v>
      </c>
      <c r="J433" s="10">
        <v>3</v>
      </c>
      <c r="K433" s="10">
        <v>1</v>
      </c>
      <c r="L433" s="10" t="s">
        <v>1724</v>
      </c>
      <c r="M433" s="10" t="s">
        <v>1725</v>
      </c>
      <c r="N433" s="10">
        <v>5</v>
      </c>
      <c r="O433" s="10" t="s">
        <v>1950</v>
      </c>
      <c r="P433" s="13">
        <v>46069</v>
      </c>
    </row>
    <row r="434" spans="1:16" x14ac:dyDescent="0.25">
      <c r="A434" s="10" t="s">
        <v>770</v>
      </c>
      <c r="B434" s="10" t="s">
        <v>671</v>
      </c>
      <c r="C434" s="10" t="s">
        <v>147</v>
      </c>
      <c r="D434" s="10" t="s">
        <v>768</v>
      </c>
      <c r="E434" s="10">
        <v>9529778170</v>
      </c>
      <c r="F434" s="11">
        <v>1.0115740740740741E-2</v>
      </c>
      <c r="G434" s="10">
        <v>14.57</v>
      </c>
      <c r="H434" s="10">
        <v>0.81</v>
      </c>
      <c r="I434" s="12">
        <v>84.382268518518515</v>
      </c>
      <c r="J434" s="10"/>
      <c r="K434" s="10"/>
      <c r="L434" s="10"/>
      <c r="M434" s="10"/>
      <c r="N434" s="10"/>
      <c r="O434" s="10" t="s">
        <v>1950</v>
      </c>
      <c r="P434" s="13">
        <v>45937</v>
      </c>
    </row>
    <row r="435" spans="1:16" x14ac:dyDescent="0.25">
      <c r="A435" s="10" t="s">
        <v>771</v>
      </c>
      <c r="B435" s="10" t="s">
        <v>671</v>
      </c>
      <c r="C435" s="10" t="s">
        <v>129</v>
      </c>
      <c r="D435" s="10" t="s">
        <v>746</v>
      </c>
      <c r="E435" s="10">
        <v>7756095516</v>
      </c>
      <c r="F435" s="11">
        <v>4.8414351851851854E-2</v>
      </c>
      <c r="G435" s="10">
        <v>69.72</v>
      </c>
      <c r="H435" s="10">
        <v>4.6500000000000004</v>
      </c>
      <c r="I435" s="12">
        <v>84.381307870370364</v>
      </c>
      <c r="J435" s="10">
        <v>2</v>
      </c>
      <c r="K435" s="10">
        <v>0</v>
      </c>
      <c r="L435" s="10" t="s">
        <v>1835</v>
      </c>
      <c r="M435" s="10" t="s">
        <v>1836</v>
      </c>
      <c r="N435" s="10">
        <v>206</v>
      </c>
      <c r="O435" s="10" t="s">
        <v>1950</v>
      </c>
      <c r="P435" s="13">
        <v>46119</v>
      </c>
    </row>
    <row r="436" spans="1:16" x14ac:dyDescent="0.25">
      <c r="A436" s="10" t="s">
        <v>772</v>
      </c>
      <c r="B436" s="10" t="s">
        <v>671</v>
      </c>
      <c r="C436" s="10" t="s">
        <v>129</v>
      </c>
      <c r="D436" s="10" t="s">
        <v>746</v>
      </c>
      <c r="E436" s="10">
        <v>7756095516</v>
      </c>
      <c r="F436" s="11">
        <v>8.7152777777777784E-3</v>
      </c>
      <c r="G436" s="10">
        <v>12.55</v>
      </c>
      <c r="H436" s="10">
        <v>0.7</v>
      </c>
      <c r="I436" s="12">
        <v>84.381307870370364</v>
      </c>
      <c r="J436" s="10"/>
      <c r="K436" s="10"/>
      <c r="L436" s="10"/>
      <c r="M436" s="10"/>
      <c r="N436" s="10"/>
      <c r="O436" s="10" t="s">
        <v>1950</v>
      </c>
      <c r="P436" s="13">
        <v>45856</v>
      </c>
    </row>
    <row r="437" spans="1:16" x14ac:dyDescent="0.25">
      <c r="A437" s="10" t="s">
        <v>773</v>
      </c>
      <c r="B437" s="10" t="s">
        <v>671</v>
      </c>
      <c r="C437" s="10" t="s">
        <v>129</v>
      </c>
      <c r="D437" s="10" t="s">
        <v>746</v>
      </c>
      <c r="E437" s="10">
        <v>7756095516</v>
      </c>
      <c r="F437" s="11">
        <v>4.085648148148148E-2</v>
      </c>
      <c r="G437" s="10">
        <v>58.83</v>
      </c>
      <c r="H437" s="10">
        <v>1.72</v>
      </c>
      <c r="I437" s="12">
        <v>84.381307870370364</v>
      </c>
      <c r="J437" s="10"/>
      <c r="K437" s="10"/>
      <c r="L437" s="10"/>
      <c r="M437" s="10"/>
      <c r="N437" s="10"/>
      <c r="O437" s="10" t="s">
        <v>1950</v>
      </c>
      <c r="P437" s="13">
        <v>45940</v>
      </c>
    </row>
    <row r="438" spans="1:16" x14ac:dyDescent="0.25">
      <c r="A438" s="10" t="s">
        <v>774</v>
      </c>
      <c r="B438" s="10" t="s">
        <v>671</v>
      </c>
      <c r="C438" s="10" t="s">
        <v>129</v>
      </c>
      <c r="D438" s="10" t="s">
        <v>746</v>
      </c>
      <c r="E438" s="10">
        <v>7756095516</v>
      </c>
      <c r="F438" s="11">
        <v>4.0381944444444443E-2</v>
      </c>
      <c r="G438" s="10">
        <v>58.15</v>
      </c>
      <c r="H438" s="10">
        <v>3.37</v>
      </c>
      <c r="I438" s="12">
        <v>84.381307870370364</v>
      </c>
      <c r="J438" s="10"/>
      <c r="K438" s="10"/>
      <c r="L438" s="10"/>
      <c r="M438" s="10"/>
      <c r="N438" s="10"/>
      <c r="O438" s="10" t="s">
        <v>1950</v>
      </c>
      <c r="P438" s="13">
        <v>45940</v>
      </c>
    </row>
    <row r="439" spans="1:16" x14ac:dyDescent="0.25">
      <c r="A439" s="10" t="s">
        <v>775</v>
      </c>
      <c r="B439" s="10" t="s">
        <v>671</v>
      </c>
      <c r="C439" s="10" t="s">
        <v>156</v>
      </c>
      <c r="D439" s="10" t="s">
        <v>156</v>
      </c>
      <c r="E439" s="10">
        <v>7376804512</v>
      </c>
      <c r="F439" s="11">
        <v>0.23327546296296298</v>
      </c>
      <c r="G439" s="10">
        <v>335.92</v>
      </c>
      <c r="H439" s="10">
        <v>19.73</v>
      </c>
      <c r="I439" s="12">
        <v>84.418263888888887</v>
      </c>
      <c r="J439" s="10">
        <v>1</v>
      </c>
      <c r="K439" s="10">
        <v>0</v>
      </c>
      <c r="L439" s="10" t="s">
        <v>1947</v>
      </c>
      <c r="M439" s="10" t="s">
        <v>1947</v>
      </c>
      <c r="N439" s="10">
        <v>65</v>
      </c>
      <c r="O439" s="10" t="s">
        <v>1950</v>
      </c>
      <c r="P439" s="13">
        <v>46096</v>
      </c>
    </row>
    <row r="440" spans="1:16" x14ac:dyDescent="0.25">
      <c r="A440" s="10" t="s">
        <v>776</v>
      </c>
      <c r="B440" s="10" t="s">
        <v>671</v>
      </c>
      <c r="C440" s="10" t="s">
        <v>125</v>
      </c>
      <c r="D440" s="10" t="s">
        <v>551</v>
      </c>
      <c r="E440" s="10">
        <v>9428102150</v>
      </c>
      <c r="F440" s="12">
        <v>3.0884374999999999</v>
      </c>
      <c r="G440" s="10">
        <v>127.35</v>
      </c>
      <c r="H440" s="10">
        <v>932.66</v>
      </c>
      <c r="I440" s="12">
        <v>84.380798611111118</v>
      </c>
      <c r="J440" s="10">
        <v>2</v>
      </c>
      <c r="K440" s="10">
        <v>1</v>
      </c>
      <c r="L440" s="10" t="s">
        <v>1825</v>
      </c>
      <c r="M440" s="10" t="s">
        <v>1826</v>
      </c>
      <c r="N440" s="10">
        <v>121</v>
      </c>
      <c r="O440" s="10" t="s">
        <v>1950</v>
      </c>
      <c r="P440" s="13">
        <v>46098</v>
      </c>
    </row>
    <row r="441" spans="1:16" x14ac:dyDescent="0.25">
      <c r="A441" s="10" t="s">
        <v>777</v>
      </c>
      <c r="B441" s="10" t="s">
        <v>671</v>
      </c>
      <c r="C441" s="10" t="s">
        <v>129</v>
      </c>
      <c r="D441" s="10" t="s">
        <v>746</v>
      </c>
      <c r="E441" s="10">
        <v>7756095516</v>
      </c>
      <c r="F441" s="11">
        <v>4.1689814814814811E-2</v>
      </c>
      <c r="G441" s="10">
        <v>60.03</v>
      </c>
      <c r="H441" s="10">
        <v>3.47</v>
      </c>
      <c r="I441" s="12">
        <v>84.381307870370364</v>
      </c>
      <c r="J441" s="10"/>
      <c r="K441" s="10"/>
      <c r="L441" s="10"/>
      <c r="M441" s="10"/>
      <c r="N441" s="10"/>
      <c r="O441" s="10" t="s">
        <v>1950</v>
      </c>
      <c r="P441" s="13">
        <v>45939</v>
      </c>
    </row>
    <row r="442" spans="1:16" x14ac:dyDescent="0.25">
      <c r="A442" s="10" t="s">
        <v>778</v>
      </c>
      <c r="B442" s="10" t="s">
        <v>311</v>
      </c>
      <c r="C442" s="10" t="s">
        <v>29</v>
      </c>
      <c r="D442" s="10" t="s">
        <v>312</v>
      </c>
      <c r="E442" s="10">
        <v>9820914808</v>
      </c>
      <c r="F442" s="11">
        <v>0.28092592592592591</v>
      </c>
      <c r="G442" s="10">
        <v>404.53</v>
      </c>
      <c r="H442" s="10">
        <v>10.08</v>
      </c>
      <c r="I442" s="12">
        <v>84.29965277777778</v>
      </c>
      <c r="J442" s="10"/>
      <c r="K442" s="10"/>
      <c r="L442" s="10"/>
      <c r="M442" s="10"/>
      <c r="N442" s="10"/>
      <c r="O442" s="10" t="s">
        <v>1950</v>
      </c>
      <c r="P442" s="13">
        <v>45922</v>
      </c>
    </row>
    <row r="443" spans="1:16" x14ac:dyDescent="0.25">
      <c r="A443" s="10" t="s">
        <v>779</v>
      </c>
      <c r="B443" s="10" t="s">
        <v>671</v>
      </c>
      <c r="C443" s="10" t="s">
        <v>35</v>
      </c>
      <c r="D443" s="10" t="s">
        <v>368</v>
      </c>
      <c r="E443" s="10">
        <v>8448820535</v>
      </c>
      <c r="F443" s="10" t="s">
        <v>309</v>
      </c>
      <c r="G443" s="10"/>
      <c r="H443" s="10">
        <v>0</v>
      </c>
      <c r="I443" s="12">
        <v>84.334097222222226</v>
      </c>
      <c r="J443" s="10">
        <v>27</v>
      </c>
      <c r="K443" s="10">
        <v>3</v>
      </c>
      <c r="L443" s="10" t="s">
        <v>992</v>
      </c>
      <c r="M443" s="10" t="s">
        <v>993</v>
      </c>
      <c r="N443" s="10">
        <v>268</v>
      </c>
      <c r="O443" s="10" t="s">
        <v>1949</v>
      </c>
      <c r="P443" s="10"/>
    </row>
    <row r="444" spans="1:16" x14ac:dyDescent="0.25">
      <c r="A444" s="10" t="s">
        <v>780</v>
      </c>
      <c r="B444" s="10" t="s">
        <v>303</v>
      </c>
      <c r="C444" s="10" t="s">
        <v>29</v>
      </c>
      <c r="D444" s="10" t="s">
        <v>312</v>
      </c>
      <c r="E444" s="10">
        <v>9820914808</v>
      </c>
      <c r="F444" s="12">
        <v>2.3845717592592592</v>
      </c>
      <c r="G444" s="10">
        <v>553.78</v>
      </c>
      <c r="H444" s="10">
        <v>143.66</v>
      </c>
      <c r="I444" s="12">
        <v>84.29965277777778</v>
      </c>
      <c r="J444" s="10"/>
      <c r="K444" s="10"/>
      <c r="L444" s="10"/>
      <c r="M444" s="10"/>
      <c r="N444" s="10"/>
      <c r="O444" s="10" t="s">
        <v>1950</v>
      </c>
      <c r="P444" s="13">
        <v>45985</v>
      </c>
    </row>
    <row r="445" spans="1:16" x14ac:dyDescent="0.25">
      <c r="A445" s="10" t="s">
        <v>781</v>
      </c>
      <c r="B445" s="10" t="s">
        <v>311</v>
      </c>
      <c r="C445" s="10" t="s">
        <v>29</v>
      </c>
      <c r="D445" s="10" t="s">
        <v>312</v>
      </c>
      <c r="E445" s="10">
        <v>9820914808</v>
      </c>
      <c r="F445" s="11">
        <v>0.22077546296296297</v>
      </c>
      <c r="G445" s="10">
        <v>317.92</v>
      </c>
      <c r="H445" s="10">
        <v>13.34</v>
      </c>
      <c r="I445" s="12">
        <v>84.29965277777778</v>
      </c>
      <c r="J445" s="10"/>
      <c r="K445" s="10"/>
      <c r="L445" s="10"/>
      <c r="M445" s="10"/>
      <c r="N445" s="10"/>
      <c r="O445" s="10" t="s">
        <v>1950</v>
      </c>
      <c r="P445" s="13">
        <v>45970</v>
      </c>
    </row>
    <row r="446" spans="1:16" x14ac:dyDescent="0.25">
      <c r="A446" s="10" t="s">
        <v>782</v>
      </c>
      <c r="B446" s="10" t="s">
        <v>311</v>
      </c>
      <c r="C446" s="10" t="s">
        <v>29</v>
      </c>
      <c r="D446" s="10" t="s">
        <v>312</v>
      </c>
      <c r="E446" s="10">
        <v>9820914808</v>
      </c>
      <c r="F446" s="12">
        <v>6.9158217592592592</v>
      </c>
      <c r="G446" s="10">
        <v>1318.78</v>
      </c>
      <c r="H446" s="10">
        <v>2027.45</v>
      </c>
      <c r="I446" s="12">
        <v>84.29965277777778</v>
      </c>
      <c r="J446" s="10">
        <v>39</v>
      </c>
      <c r="K446" s="10">
        <v>9</v>
      </c>
      <c r="L446" s="10" t="s">
        <v>855</v>
      </c>
      <c r="M446" s="10" t="s">
        <v>856</v>
      </c>
      <c r="N446" s="10">
        <v>132</v>
      </c>
      <c r="O446" s="10" t="s">
        <v>1950</v>
      </c>
      <c r="P446" s="13">
        <v>46028</v>
      </c>
    </row>
    <row r="447" spans="1:16" x14ac:dyDescent="0.25">
      <c r="A447" s="10" t="s">
        <v>783</v>
      </c>
      <c r="B447" s="10" t="s">
        <v>311</v>
      </c>
      <c r="C447" s="10" t="s">
        <v>29</v>
      </c>
      <c r="D447" s="10" t="s">
        <v>312</v>
      </c>
      <c r="E447" s="10">
        <v>9820914808</v>
      </c>
      <c r="F447" s="12">
        <v>1.9899189814814815</v>
      </c>
      <c r="G447" s="10">
        <v>1425.48</v>
      </c>
      <c r="H447" s="10">
        <v>318.23</v>
      </c>
      <c r="I447" s="12">
        <v>84.29965277777778</v>
      </c>
      <c r="J447" s="10">
        <v>21</v>
      </c>
      <c r="K447" s="10">
        <v>12</v>
      </c>
      <c r="L447" s="10" t="s">
        <v>1086</v>
      </c>
      <c r="M447" s="10" t="s">
        <v>1087</v>
      </c>
      <c r="N447" s="10">
        <v>178</v>
      </c>
      <c r="O447" s="10" t="s">
        <v>1949</v>
      </c>
      <c r="P447" s="13">
        <v>46009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49D2-2EE9-4AB4-B611-C8C159B2EEE8}">
  <dimension ref="A1:B43"/>
  <sheetViews>
    <sheetView workbookViewId="0"/>
  </sheetViews>
  <sheetFormatPr defaultRowHeight="15" x14ac:dyDescent="0.25"/>
  <cols>
    <col min="1" max="1" width="50.5703125" bestFit="1" customWidth="1"/>
    <col min="2" max="2" width="15.28515625" bestFit="1" customWidth="1"/>
  </cols>
  <sheetData>
    <row r="1" spans="1:2" x14ac:dyDescent="0.25">
      <c r="A1" t="s">
        <v>294</v>
      </c>
      <c r="B1" t="s">
        <v>784</v>
      </c>
    </row>
    <row r="2" spans="1:2" x14ac:dyDescent="0.25">
      <c r="A2" t="s">
        <v>29</v>
      </c>
      <c r="B2" s="7">
        <v>279</v>
      </c>
    </row>
    <row r="3" spans="1:2" x14ac:dyDescent="0.25">
      <c r="A3" t="s">
        <v>125</v>
      </c>
      <c r="B3" s="7">
        <v>25</v>
      </c>
    </row>
    <row r="4" spans="1:2" x14ac:dyDescent="0.25">
      <c r="A4" t="s">
        <v>76</v>
      </c>
      <c r="B4" s="7">
        <v>24</v>
      </c>
    </row>
    <row r="5" spans="1:2" x14ac:dyDescent="0.25">
      <c r="A5" t="s">
        <v>35</v>
      </c>
      <c r="B5" s="7">
        <v>20</v>
      </c>
    </row>
    <row r="6" spans="1:2" x14ac:dyDescent="0.25">
      <c r="A6" t="s">
        <v>11</v>
      </c>
      <c r="B6" s="7">
        <v>18</v>
      </c>
    </row>
    <row r="7" spans="1:2" x14ac:dyDescent="0.25">
      <c r="A7" t="s">
        <v>5</v>
      </c>
      <c r="B7" s="7">
        <v>10</v>
      </c>
    </row>
    <row r="8" spans="1:2" x14ac:dyDescent="0.25">
      <c r="A8" t="s">
        <v>46</v>
      </c>
      <c r="B8" s="7">
        <v>8</v>
      </c>
    </row>
    <row r="9" spans="1:2" x14ac:dyDescent="0.25">
      <c r="A9" t="s">
        <v>13</v>
      </c>
      <c r="B9" s="7">
        <v>6</v>
      </c>
    </row>
    <row r="10" spans="1:2" x14ac:dyDescent="0.25">
      <c r="A10" t="s">
        <v>129</v>
      </c>
      <c r="B10" s="7">
        <v>6</v>
      </c>
    </row>
    <row r="11" spans="1:2" x14ac:dyDescent="0.25">
      <c r="A11" t="s">
        <v>48</v>
      </c>
      <c r="B11" s="7">
        <v>5</v>
      </c>
    </row>
    <row r="12" spans="1:2" x14ac:dyDescent="0.25">
      <c r="A12" t="s">
        <v>9</v>
      </c>
      <c r="B12" s="7">
        <v>4</v>
      </c>
    </row>
    <row r="13" spans="1:2" x14ac:dyDescent="0.25">
      <c r="A13" t="s">
        <v>23</v>
      </c>
      <c r="B13" s="7">
        <v>3</v>
      </c>
    </row>
    <row r="14" spans="1:2" x14ac:dyDescent="0.25">
      <c r="A14" t="s">
        <v>31</v>
      </c>
      <c r="B14" s="7">
        <v>3</v>
      </c>
    </row>
    <row r="15" spans="1:2" x14ac:dyDescent="0.25">
      <c r="A15" t="s">
        <v>59</v>
      </c>
      <c r="B15" s="7">
        <v>3</v>
      </c>
    </row>
    <row r="16" spans="1:2" x14ac:dyDescent="0.25">
      <c r="A16" t="s">
        <v>157</v>
      </c>
      <c r="B16" s="7">
        <v>3</v>
      </c>
    </row>
    <row r="17" spans="1:2" x14ac:dyDescent="0.25">
      <c r="A17" t="s">
        <v>21</v>
      </c>
      <c r="B17" s="7">
        <v>2</v>
      </c>
    </row>
    <row r="18" spans="1:2" x14ac:dyDescent="0.25">
      <c r="A18" t="s">
        <v>58</v>
      </c>
      <c r="B18" s="7">
        <v>2</v>
      </c>
    </row>
    <row r="19" spans="1:2" x14ac:dyDescent="0.25">
      <c r="A19" t="s">
        <v>147</v>
      </c>
      <c r="B19" s="7">
        <v>2</v>
      </c>
    </row>
    <row r="20" spans="1:2" x14ac:dyDescent="0.25">
      <c r="A20" t="s">
        <v>38</v>
      </c>
      <c r="B20" s="7">
        <v>1</v>
      </c>
    </row>
    <row r="21" spans="1:2" x14ac:dyDescent="0.25">
      <c r="A21" t="s">
        <v>15</v>
      </c>
      <c r="B21" s="7">
        <v>1</v>
      </c>
    </row>
    <row r="22" spans="1:2" x14ac:dyDescent="0.25">
      <c r="A22" t="s">
        <v>7</v>
      </c>
      <c r="B22" s="7">
        <v>1</v>
      </c>
    </row>
    <row r="23" spans="1:2" x14ac:dyDescent="0.25">
      <c r="A23" t="s">
        <v>37</v>
      </c>
      <c r="B23" s="7">
        <v>1</v>
      </c>
    </row>
    <row r="24" spans="1:2" x14ac:dyDescent="0.25">
      <c r="A24" t="s">
        <v>44</v>
      </c>
      <c r="B24" s="7">
        <v>1</v>
      </c>
    </row>
    <row r="25" spans="1:2" x14ac:dyDescent="0.25">
      <c r="A25" t="s">
        <v>84</v>
      </c>
      <c r="B25" s="7">
        <v>1</v>
      </c>
    </row>
    <row r="26" spans="1:2" x14ac:dyDescent="0.25">
      <c r="A26" t="s">
        <v>90</v>
      </c>
      <c r="B26" s="7">
        <v>1</v>
      </c>
    </row>
    <row r="27" spans="1:2" x14ac:dyDescent="0.25">
      <c r="A27" t="s">
        <v>93</v>
      </c>
      <c r="B27" s="7">
        <v>1</v>
      </c>
    </row>
    <row r="28" spans="1:2" x14ac:dyDescent="0.25">
      <c r="A28" t="s">
        <v>127</v>
      </c>
      <c r="B28" s="7">
        <v>1</v>
      </c>
    </row>
    <row r="29" spans="1:2" x14ac:dyDescent="0.25">
      <c r="A29" t="s">
        <v>131</v>
      </c>
      <c r="B29" s="7">
        <v>1</v>
      </c>
    </row>
    <row r="30" spans="1:2" x14ac:dyDescent="0.25">
      <c r="A30" t="s">
        <v>133</v>
      </c>
      <c r="B30" s="7">
        <v>1</v>
      </c>
    </row>
    <row r="31" spans="1:2" x14ac:dyDescent="0.25">
      <c r="A31" t="s">
        <v>123</v>
      </c>
      <c r="B31" s="7">
        <v>1</v>
      </c>
    </row>
    <row r="32" spans="1:2" x14ac:dyDescent="0.25">
      <c r="A32" t="s">
        <v>134</v>
      </c>
      <c r="B32" s="7">
        <v>1</v>
      </c>
    </row>
    <row r="33" spans="1:2" x14ac:dyDescent="0.25">
      <c r="A33" t="s">
        <v>66</v>
      </c>
      <c r="B33" s="7">
        <v>1</v>
      </c>
    </row>
    <row r="34" spans="1:2" x14ac:dyDescent="0.25">
      <c r="A34" t="s">
        <v>67</v>
      </c>
      <c r="B34" s="7">
        <v>1</v>
      </c>
    </row>
    <row r="35" spans="1:2" x14ac:dyDescent="0.25">
      <c r="A35" t="s">
        <v>150</v>
      </c>
      <c r="B35" s="7">
        <v>1</v>
      </c>
    </row>
    <row r="36" spans="1:2" x14ac:dyDescent="0.25">
      <c r="A36" t="s">
        <v>152</v>
      </c>
      <c r="B36" s="7">
        <v>1</v>
      </c>
    </row>
    <row r="37" spans="1:2" x14ac:dyDescent="0.25">
      <c r="A37" t="s">
        <v>135</v>
      </c>
      <c r="B37" s="7">
        <v>1</v>
      </c>
    </row>
    <row r="38" spans="1:2" x14ac:dyDescent="0.25">
      <c r="A38" t="s">
        <v>136</v>
      </c>
      <c r="B38" s="7">
        <v>1</v>
      </c>
    </row>
    <row r="39" spans="1:2" x14ac:dyDescent="0.25">
      <c r="A39" t="s">
        <v>154</v>
      </c>
      <c r="B39" s="7">
        <v>1</v>
      </c>
    </row>
    <row r="40" spans="1:2" x14ac:dyDescent="0.25">
      <c r="A40" t="s">
        <v>144</v>
      </c>
      <c r="B40" s="7">
        <v>1</v>
      </c>
    </row>
    <row r="41" spans="1:2" x14ac:dyDescent="0.25">
      <c r="A41" t="s">
        <v>146</v>
      </c>
      <c r="B41" s="7">
        <v>1</v>
      </c>
    </row>
    <row r="42" spans="1:2" x14ac:dyDescent="0.25">
      <c r="A42" t="s">
        <v>156</v>
      </c>
      <c r="B42" s="7">
        <v>1</v>
      </c>
    </row>
    <row r="43" spans="1:2" x14ac:dyDescent="0.25">
      <c r="A43">
        <v>0</v>
      </c>
      <c r="B43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21D6-52B5-4B5F-98BD-D5D567F4BCBB}">
  <dimension ref="H5:K7"/>
  <sheetViews>
    <sheetView workbookViewId="0">
      <selection activeCell="H6" sqref="H6"/>
    </sheetView>
  </sheetViews>
  <sheetFormatPr defaultRowHeight="15" x14ac:dyDescent="0.25"/>
  <cols>
    <col min="1" max="7" width="9.140625" style="3"/>
    <col min="8" max="8" width="16.85546875" style="3" customWidth="1"/>
    <col min="9" max="9" width="9.140625" style="3"/>
    <col min="10" max="10" width="19.5703125" style="3" bestFit="1" customWidth="1"/>
    <col min="11" max="11" width="25.85546875" style="3" bestFit="1" customWidth="1"/>
    <col min="12" max="16384" width="9.140625" style="3"/>
  </cols>
  <sheetData>
    <row r="5" spans="8:11" x14ac:dyDescent="0.25">
      <c r="H5" s="4"/>
      <c r="I5" s="6" t="s">
        <v>785</v>
      </c>
      <c r="J5" s="6" t="s">
        <v>786</v>
      </c>
      <c r="K5" s="6" t="s">
        <v>787</v>
      </c>
    </row>
    <row r="6" spans="8:11" x14ac:dyDescent="0.25">
      <c r="H6" s="4" t="s">
        <v>788</v>
      </c>
      <c r="I6" s="4">
        <f>COUNTA('Drone details'!A:A)</f>
        <v>447</v>
      </c>
      <c r="J6" s="4" cm="1">
        <f t="array" ref="J6">ROWS(_xlfn._xlws.FILTER('Drone details'!A2:A447,VALUE('Drone details'!K2:K447&amp;"0")&gt;0))</f>
        <v>312</v>
      </c>
      <c r="K6" s="4" cm="1">
        <f t="array" ref="K6">SUMPRODUCT((ISNUMBER('Drone details'!N2:N447)*('Drone details'!N2:N447&lt;=30))*1)</f>
        <v>52</v>
      </c>
    </row>
    <row r="7" spans="8:11" x14ac:dyDescent="0.25">
      <c r="H7" s="4" t="s">
        <v>789</v>
      </c>
      <c r="I7" s="5" cm="1">
        <f t="array" ref="I7">ROWS(_xlfn.UNIQUE(_xlfn._xlws.FILTER('Drone details'!$C$2:$C$447,'Drone details'!$C$2:$C$447&lt;&gt;"")))</f>
        <v>41</v>
      </c>
      <c r="J7" s="4" cm="1">
        <f t="array" ref="J7">ROWS(_xlfn.UNIQUE(_xlfn._xlws.FILTER('Drone details'!C2:C447,VALUE('Drone details'!K2:K447&amp;"0")&gt;0)))</f>
        <v>28</v>
      </c>
      <c r="K7" s="4" cm="1">
        <f t="array" ref="K7">ROWS(_xlfn.UNIQUE(_xlfn._xlws.FILTER('Drone details'!C2:C447,(ISNUMBER('Drone details'!N2:N447))*('Drone details'!N2:N447&lt;=30))))</f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4DDC-F444-4238-A158-0679EE2A6D3A}">
  <dimension ref="A1:E545"/>
  <sheetViews>
    <sheetView topLeftCell="A208" workbookViewId="0">
      <selection activeCell="A238" sqref="A238"/>
    </sheetView>
  </sheetViews>
  <sheetFormatPr defaultRowHeight="15" x14ac:dyDescent="0.25"/>
  <cols>
    <col min="3" max="3" width="20.28515625" bestFit="1" customWidth="1"/>
    <col min="4" max="5" width="25.140625" bestFit="1" customWidth="1"/>
  </cols>
  <sheetData>
    <row r="1" spans="1:5" x14ac:dyDescent="0.25">
      <c r="A1" t="s">
        <v>292</v>
      </c>
      <c r="B1" t="s">
        <v>160</v>
      </c>
      <c r="C1" t="s">
        <v>161</v>
      </c>
      <c r="D1" t="s">
        <v>162</v>
      </c>
      <c r="E1" t="s">
        <v>163</v>
      </c>
    </row>
    <row r="2" spans="1:5" x14ac:dyDescent="0.25">
      <c r="A2" t="s">
        <v>377</v>
      </c>
      <c r="B2">
        <v>77</v>
      </c>
      <c r="C2" t="s">
        <v>204</v>
      </c>
      <c r="D2" t="s">
        <v>790</v>
      </c>
      <c r="E2" t="s">
        <v>791</v>
      </c>
    </row>
    <row r="3" spans="1:5" x14ac:dyDescent="0.25">
      <c r="A3" t="s">
        <v>437</v>
      </c>
      <c r="B3">
        <v>71</v>
      </c>
      <c r="C3" t="s">
        <v>792</v>
      </c>
      <c r="D3" t="s">
        <v>793</v>
      </c>
      <c r="E3" t="s">
        <v>794</v>
      </c>
    </row>
    <row r="4" spans="1:5" x14ac:dyDescent="0.25">
      <c r="A4" t="s">
        <v>371</v>
      </c>
      <c r="B4">
        <v>64</v>
      </c>
      <c r="C4" t="s">
        <v>795</v>
      </c>
      <c r="D4" t="s">
        <v>796</v>
      </c>
      <c r="E4" t="s">
        <v>797</v>
      </c>
    </row>
    <row r="5" spans="1:5" x14ac:dyDescent="0.25">
      <c r="A5" t="s">
        <v>493</v>
      </c>
      <c r="B5">
        <v>63</v>
      </c>
      <c r="C5" t="s">
        <v>798</v>
      </c>
      <c r="D5" t="s">
        <v>799</v>
      </c>
      <c r="E5" t="s">
        <v>800</v>
      </c>
    </row>
    <row r="6" spans="1:5" x14ac:dyDescent="0.25">
      <c r="A6" t="s">
        <v>581</v>
      </c>
      <c r="B6">
        <v>60</v>
      </c>
      <c r="C6" t="s">
        <v>801</v>
      </c>
      <c r="D6" t="s">
        <v>802</v>
      </c>
      <c r="E6" t="s">
        <v>803</v>
      </c>
    </row>
    <row r="7" spans="1:5" x14ac:dyDescent="0.25">
      <c r="A7" t="s">
        <v>519</v>
      </c>
      <c r="B7">
        <v>59</v>
      </c>
      <c r="C7" t="s">
        <v>804</v>
      </c>
      <c r="D7" t="s">
        <v>805</v>
      </c>
      <c r="E7" t="s">
        <v>806</v>
      </c>
    </row>
    <row r="8" spans="1:5" x14ac:dyDescent="0.25">
      <c r="A8" t="s">
        <v>467</v>
      </c>
      <c r="B8">
        <v>58</v>
      </c>
      <c r="C8" t="s">
        <v>807</v>
      </c>
      <c r="D8" t="s">
        <v>808</v>
      </c>
      <c r="E8" t="s">
        <v>809</v>
      </c>
    </row>
    <row r="9" spans="1:5" x14ac:dyDescent="0.25">
      <c r="A9" t="s">
        <v>440</v>
      </c>
      <c r="B9">
        <v>53</v>
      </c>
      <c r="C9" t="s">
        <v>810</v>
      </c>
      <c r="D9" t="s">
        <v>811</v>
      </c>
      <c r="E9" t="s">
        <v>812</v>
      </c>
    </row>
    <row r="10" spans="1:5" x14ac:dyDescent="0.25">
      <c r="A10" t="s">
        <v>420</v>
      </c>
      <c r="B10">
        <v>53</v>
      </c>
      <c r="C10" t="s">
        <v>813</v>
      </c>
      <c r="D10" t="s">
        <v>814</v>
      </c>
      <c r="E10" t="s">
        <v>815</v>
      </c>
    </row>
    <row r="11" spans="1:5" x14ac:dyDescent="0.25">
      <c r="A11" t="s">
        <v>398</v>
      </c>
      <c r="B11">
        <v>51</v>
      </c>
      <c r="C11" t="s">
        <v>816</v>
      </c>
      <c r="D11" t="s">
        <v>817</v>
      </c>
      <c r="E11" t="s">
        <v>818</v>
      </c>
    </row>
    <row r="12" spans="1:5" x14ac:dyDescent="0.25">
      <c r="A12" t="s">
        <v>376</v>
      </c>
      <c r="B12">
        <v>51</v>
      </c>
      <c r="C12" t="s">
        <v>194</v>
      </c>
      <c r="D12" t="s">
        <v>819</v>
      </c>
      <c r="E12" t="s">
        <v>820</v>
      </c>
    </row>
    <row r="13" spans="1:5" x14ac:dyDescent="0.25">
      <c r="A13" t="s">
        <v>714</v>
      </c>
      <c r="B13">
        <v>50</v>
      </c>
      <c r="C13" t="s">
        <v>810</v>
      </c>
      <c r="D13" t="s">
        <v>821</v>
      </c>
      <c r="E13" t="s">
        <v>822</v>
      </c>
    </row>
    <row r="14" spans="1:5" x14ac:dyDescent="0.25">
      <c r="A14" t="s">
        <v>522</v>
      </c>
      <c r="B14">
        <v>49</v>
      </c>
      <c r="C14" t="s">
        <v>798</v>
      </c>
      <c r="D14" t="s">
        <v>823</v>
      </c>
      <c r="E14" t="s">
        <v>824</v>
      </c>
    </row>
    <row r="15" spans="1:5" x14ac:dyDescent="0.25">
      <c r="A15" t="s">
        <v>396</v>
      </c>
      <c r="B15">
        <v>48</v>
      </c>
      <c r="C15" t="s">
        <v>181</v>
      </c>
      <c r="D15" t="s">
        <v>825</v>
      </c>
      <c r="E15" t="s">
        <v>826</v>
      </c>
    </row>
    <row r="16" spans="1:5" x14ac:dyDescent="0.25">
      <c r="A16" t="s">
        <v>555</v>
      </c>
      <c r="B16">
        <v>47</v>
      </c>
      <c r="C16" t="s">
        <v>179</v>
      </c>
      <c r="D16" t="s">
        <v>827</v>
      </c>
      <c r="E16" t="s">
        <v>828</v>
      </c>
    </row>
    <row r="17" spans="1:5" x14ac:dyDescent="0.25">
      <c r="A17" t="s">
        <v>533</v>
      </c>
      <c r="B17">
        <v>47</v>
      </c>
      <c r="C17" t="s">
        <v>792</v>
      </c>
      <c r="D17" t="s">
        <v>829</v>
      </c>
      <c r="E17" t="s">
        <v>830</v>
      </c>
    </row>
    <row r="18" spans="1:5" x14ac:dyDescent="0.25">
      <c r="A18" t="s">
        <v>443</v>
      </c>
      <c r="B18">
        <v>45</v>
      </c>
      <c r="C18" t="s">
        <v>194</v>
      </c>
      <c r="D18" t="s">
        <v>831</v>
      </c>
      <c r="E18" t="s">
        <v>832</v>
      </c>
    </row>
    <row r="19" spans="1:5" x14ac:dyDescent="0.25">
      <c r="A19" t="s">
        <v>348</v>
      </c>
      <c r="B19">
        <v>43</v>
      </c>
      <c r="C19" t="s">
        <v>833</v>
      </c>
      <c r="D19" t="s">
        <v>834</v>
      </c>
      <c r="E19" t="s">
        <v>835</v>
      </c>
    </row>
    <row r="20" spans="1:5" x14ac:dyDescent="0.25">
      <c r="A20" t="s">
        <v>527</v>
      </c>
      <c r="B20">
        <v>43</v>
      </c>
      <c r="C20" t="s">
        <v>798</v>
      </c>
      <c r="D20" t="s">
        <v>836</v>
      </c>
      <c r="E20" t="s">
        <v>837</v>
      </c>
    </row>
    <row r="21" spans="1:5" x14ac:dyDescent="0.25">
      <c r="A21" t="s">
        <v>712</v>
      </c>
      <c r="B21">
        <v>43</v>
      </c>
      <c r="C21" t="s">
        <v>801</v>
      </c>
      <c r="D21" t="s">
        <v>838</v>
      </c>
      <c r="E21" t="s">
        <v>839</v>
      </c>
    </row>
    <row r="22" spans="1:5" x14ac:dyDescent="0.25">
      <c r="A22" t="s">
        <v>406</v>
      </c>
      <c r="B22">
        <v>42</v>
      </c>
      <c r="C22" t="s">
        <v>840</v>
      </c>
      <c r="D22" t="s">
        <v>841</v>
      </c>
      <c r="E22" t="s">
        <v>842</v>
      </c>
    </row>
    <row r="23" spans="1:5" x14ac:dyDescent="0.25">
      <c r="A23" t="s">
        <v>375</v>
      </c>
      <c r="B23">
        <v>41</v>
      </c>
      <c r="C23" t="s">
        <v>843</v>
      </c>
      <c r="D23" t="s">
        <v>844</v>
      </c>
      <c r="E23" t="s">
        <v>845</v>
      </c>
    </row>
    <row r="24" spans="1:5" x14ac:dyDescent="0.25">
      <c r="A24" t="s">
        <v>479</v>
      </c>
      <c r="B24">
        <v>41</v>
      </c>
      <c r="C24" t="s">
        <v>801</v>
      </c>
      <c r="D24" t="s">
        <v>846</v>
      </c>
      <c r="E24" t="s">
        <v>847</v>
      </c>
    </row>
    <row r="25" spans="1:5" x14ac:dyDescent="0.25">
      <c r="A25" t="s">
        <v>537</v>
      </c>
      <c r="B25">
        <v>41</v>
      </c>
      <c r="C25" t="s">
        <v>848</v>
      </c>
      <c r="D25" t="s">
        <v>849</v>
      </c>
      <c r="E25" t="s">
        <v>850</v>
      </c>
    </row>
    <row r="26" spans="1:5" x14ac:dyDescent="0.25">
      <c r="A26" t="s">
        <v>709</v>
      </c>
      <c r="B26">
        <v>41</v>
      </c>
      <c r="C26" t="s">
        <v>833</v>
      </c>
      <c r="D26" t="s">
        <v>851</v>
      </c>
      <c r="E26" t="s">
        <v>852</v>
      </c>
    </row>
    <row r="27" spans="1:5" x14ac:dyDescent="0.25">
      <c r="A27" t="s">
        <v>359</v>
      </c>
      <c r="B27">
        <v>40</v>
      </c>
      <c r="C27" t="s">
        <v>810</v>
      </c>
      <c r="D27" t="s">
        <v>853</v>
      </c>
      <c r="E27" t="s">
        <v>854</v>
      </c>
    </row>
    <row r="28" spans="1:5" x14ac:dyDescent="0.25">
      <c r="A28" t="s">
        <v>782</v>
      </c>
      <c r="B28">
        <v>39</v>
      </c>
      <c r="C28" t="s">
        <v>204</v>
      </c>
      <c r="D28" t="s">
        <v>855</v>
      </c>
      <c r="E28" t="s">
        <v>856</v>
      </c>
    </row>
    <row r="29" spans="1:5" x14ac:dyDescent="0.25">
      <c r="A29" t="s">
        <v>441</v>
      </c>
      <c r="B29">
        <v>39</v>
      </c>
      <c r="C29" t="s">
        <v>857</v>
      </c>
      <c r="D29" t="s">
        <v>858</v>
      </c>
      <c r="E29" t="s">
        <v>859</v>
      </c>
    </row>
    <row r="30" spans="1:5" x14ac:dyDescent="0.25">
      <c r="A30" t="s">
        <v>452</v>
      </c>
      <c r="B30">
        <v>39</v>
      </c>
      <c r="C30" t="s">
        <v>198</v>
      </c>
      <c r="D30" t="s">
        <v>860</v>
      </c>
      <c r="E30" t="s">
        <v>861</v>
      </c>
    </row>
    <row r="31" spans="1:5" x14ac:dyDescent="0.25">
      <c r="A31" t="s">
        <v>715</v>
      </c>
      <c r="B31">
        <v>39</v>
      </c>
      <c r="C31" t="s">
        <v>843</v>
      </c>
      <c r="D31" t="s">
        <v>862</v>
      </c>
      <c r="E31" t="s">
        <v>863</v>
      </c>
    </row>
    <row r="32" spans="1:5" x14ac:dyDescent="0.25">
      <c r="A32" t="s">
        <v>716</v>
      </c>
      <c r="B32">
        <v>39</v>
      </c>
      <c r="C32" t="s">
        <v>833</v>
      </c>
      <c r="D32" t="s">
        <v>864</v>
      </c>
      <c r="E32" t="s">
        <v>865</v>
      </c>
    </row>
    <row r="33" spans="1:5" x14ac:dyDescent="0.25">
      <c r="A33" t="s">
        <v>361</v>
      </c>
      <c r="B33">
        <v>38</v>
      </c>
      <c r="C33" t="s">
        <v>840</v>
      </c>
      <c r="D33" t="s">
        <v>866</v>
      </c>
      <c r="E33" t="s">
        <v>867</v>
      </c>
    </row>
    <row r="34" spans="1:5" x14ac:dyDescent="0.25">
      <c r="A34" t="s">
        <v>434</v>
      </c>
      <c r="B34">
        <v>38</v>
      </c>
      <c r="C34" t="s">
        <v>798</v>
      </c>
      <c r="D34" t="s">
        <v>868</v>
      </c>
      <c r="E34" t="s">
        <v>869</v>
      </c>
    </row>
    <row r="35" spans="1:5" x14ac:dyDescent="0.25">
      <c r="A35" t="s">
        <v>469</v>
      </c>
      <c r="B35">
        <v>38</v>
      </c>
      <c r="C35" t="s">
        <v>833</v>
      </c>
      <c r="D35" t="s">
        <v>870</v>
      </c>
      <c r="E35" t="s">
        <v>871</v>
      </c>
    </row>
    <row r="36" spans="1:5" x14ac:dyDescent="0.25">
      <c r="A36" t="s">
        <v>507</v>
      </c>
      <c r="B36">
        <v>38</v>
      </c>
      <c r="C36" t="s">
        <v>176</v>
      </c>
      <c r="D36" t="s">
        <v>872</v>
      </c>
      <c r="E36" t="s">
        <v>873</v>
      </c>
    </row>
    <row r="37" spans="1:5" x14ac:dyDescent="0.25">
      <c r="A37" t="s">
        <v>702</v>
      </c>
      <c r="B37">
        <v>38</v>
      </c>
      <c r="C37" t="s">
        <v>874</v>
      </c>
      <c r="D37" t="s">
        <v>875</v>
      </c>
      <c r="E37" t="s">
        <v>876</v>
      </c>
    </row>
    <row r="38" spans="1:5" x14ac:dyDescent="0.25">
      <c r="A38" t="s">
        <v>726</v>
      </c>
      <c r="B38">
        <v>38</v>
      </c>
      <c r="C38" t="s">
        <v>874</v>
      </c>
      <c r="D38" t="s">
        <v>877</v>
      </c>
      <c r="E38" t="s">
        <v>878</v>
      </c>
    </row>
    <row r="39" spans="1:5" x14ac:dyDescent="0.25">
      <c r="A39" t="s">
        <v>717</v>
      </c>
      <c r="B39">
        <v>38</v>
      </c>
      <c r="C39" t="s">
        <v>798</v>
      </c>
      <c r="D39" t="s">
        <v>879</v>
      </c>
      <c r="E39" t="s">
        <v>880</v>
      </c>
    </row>
    <row r="40" spans="1:5" x14ac:dyDescent="0.25">
      <c r="A40" t="s">
        <v>445</v>
      </c>
      <c r="B40">
        <v>37</v>
      </c>
      <c r="C40" t="s">
        <v>194</v>
      </c>
      <c r="D40" t="s">
        <v>881</v>
      </c>
      <c r="E40" t="s">
        <v>882</v>
      </c>
    </row>
    <row r="41" spans="1:5" x14ac:dyDescent="0.25">
      <c r="A41" t="s">
        <v>355</v>
      </c>
      <c r="B41">
        <v>36</v>
      </c>
      <c r="C41" t="s">
        <v>189</v>
      </c>
      <c r="D41" t="s">
        <v>883</v>
      </c>
      <c r="E41" t="s">
        <v>884</v>
      </c>
    </row>
    <row r="42" spans="1:5" x14ac:dyDescent="0.25">
      <c r="A42" t="s">
        <v>570</v>
      </c>
      <c r="B42">
        <v>36</v>
      </c>
      <c r="C42" t="s">
        <v>885</v>
      </c>
      <c r="D42" t="s">
        <v>886</v>
      </c>
      <c r="E42" t="s">
        <v>887</v>
      </c>
    </row>
    <row r="43" spans="1:5" x14ac:dyDescent="0.25">
      <c r="A43" t="s">
        <v>496</v>
      </c>
      <c r="B43">
        <v>36</v>
      </c>
      <c r="C43" t="s">
        <v>179</v>
      </c>
      <c r="D43" t="s">
        <v>888</v>
      </c>
      <c r="E43" t="s">
        <v>889</v>
      </c>
    </row>
    <row r="44" spans="1:5" x14ac:dyDescent="0.25">
      <c r="A44" t="s">
        <v>574</v>
      </c>
      <c r="B44">
        <v>36</v>
      </c>
      <c r="C44" t="s">
        <v>792</v>
      </c>
      <c r="D44" t="s">
        <v>890</v>
      </c>
      <c r="E44" t="s">
        <v>891</v>
      </c>
    </row>
    <row r="45" spans="1:5" x14ac:dyDescent="0.25">
      <c r="A45" t="s">
        <v>455</v>
      </c>
      <c r="B45">
        <v>35</v>
      </c>
      <c r="C45" t="s">
        <v>833</v>
      </c>
      <c r="D45" t="s">
        <v>892</v>
      </c>
      <c r="E45" t="s">
        <v>893</v>
      </c>
    </row>
    <row r="46" spans="1:5" x14ac:dyDescent="0.25">
      <c r="A46" t="s">
        <v>516</v>
      </c>
      <c r="B46">
        <v>35</v>
      </c>
      <c r="C46" t="s">
        <v>801</v>
      </c>
      <c r="D46" t="s">
        <v>894</v>
      </c>
      <c r="E46" t="s">
        <v>895</v>
      </c>
    </row>
    <row r="47" spans="1:5" x14ac:dyDescent="0.25">
      <c r="A47" t="s">
        <v>652</v>
      </c>
      <c r="B47">
        <v>35</v>
      </c>
      <c r="C47" t="s">
        <v>176</v>
      </c>
      <c r="D47" t="s">
        <v>896</v>
      </c>
      <c r="E47" t="s">
        <v>897</v>
      </c>
    </row>
    <row r="48" spans="1:5" x14ac:dyDescent="0.25">
      <c r="A48" t="s">
        <v>534</v>
      </c>
      <c r="B48">
        <v>34</v>
      </c>
      <c r="C48" t="s">
        <v>176</v>
      </c>
      <c r="D48" t="s">
        <v>898</v>
      </c>
      <c r="E48" t="s">
        <v>899</v>
      </c>
    </row>
    <row r="49" spans="1:5" x14ac:dyDescent="0.25">
      <c r="A49" t="s">
        <v>351</v>
      </c>
      <c r="B49">
        <v>34</v>
      </c>
      <c r="C49" t="s">
        <v>181</v>
      </c>
      <c r="D49" t="s">
        <v>900</v>
      </c>
      <c r="E49" t="s">
        <v>901</v>
      </c>
    </row>
    <row r="50" spans="1:5" x14ac:dyDescent="0.25">
      <c r="A50" t="s">
        <v>461</v>
      </c>
      <c r="B50">
        <v>34</v>
      </c>
      <c r="C50" t="s">
        <v>843</v>
      </c>
      <c r="D50" t="s">
        <v>902</v>
      </c>
      <c r="E50" t="s">
        <v>903</v>
      </c>
    </row>
    <row r="51" spans="1:5" x14ac:dyDescent="0.25">
      <c r="A51" t="s">
        <v>569</v>
      </c>
      <c r="B51">
        <v>34</v>
      </c>
      <c r="C51" t="s">
        <v>179</v>
      </c>
      <c r="D51" t="s">
        <v>904</v>
      </c>
      <c r="E51" t="s">
        <v>905</v>
      </c>
    </row>
    <row r="52" spans="1:5" x14ac:dyDescent="0.25">
      <c r="A52" t="s">
        <v>535</v>
      </c>
      <c r="B52">
        <v>34</v>
      </c>
      <c r="C52" t="s">
        <v>833</v>
      </c>
      <c r="D52" t="s">
        <v>906</v>
      </c>
      <c r="E52" t="s">
        <v>907</v>
      </c>
    </row>
    <row r="53" spans="1:5" x14ac:dyDescent="0.25">
      <c r="A53" t="s">
        <v>594</v>
      </c>
      <c r="B53">
        <v>34</v>
      </c>
      <c r="C53" t="s">
        <v>843</v>
      </c>
      <c r="D53" t="s">
        <v>908</v>
      </c>
      <c r="E53" t="s">
        <v>909</v>
      </c>
    </row>
    <row r="54" spans="1:5" x14ac:dyDescent="0.25">
      <c r="A54" t="s">
        <v>357</v>
      </c>
      <c r="B54">
        <v>33</v>
      </c>
      <c r="C54" t="s">
        <v>885</v>
      </c>
      <c r="D54" t="s">
        <v>910</v>
      </c>
      <c r="E54" t="s">
        <v>911</v>
      </c>
    </row>
    <row r="55" spans="1:5" x14ac:dyDescent="0.25">
      <c r="A55" t="s">
        <v>464</v>
      </c>
      <c r="B55">
        <v>33</v>
      </c>
      <c r="C55" t="s">
        <v>885</v>
      </c>
      <c r="D55" t="s">
        <v>912</v>
      </c>
      <c r="E55" t="s">
        <v>913</v>
      </c>
    </row>
    <row r="56" spans="1:5" x14ac:dyDescent="0.25">
      <c r="A56" t="s">
        <v>430</v>
      </c>
      <c r="B56">
        <v>33</v>
      </c>
      <c r="C56" t="s">
        <v>194</v>
      </c>
      <c r="D56" t="s">
        <v>914</v>
      </c>
      <c r="E56" t="s">
        <v>915</v>
      </c>
    </row>
    <row r="57" spans="1:5" x14ac:dyDescent="0.25">
      <c r="A57" t="s">
        <v>456</v>
      </c>
      <c r="B57">
        <v>33</v>
      </c>
      <c r="C57" t="s">
        <v>204</v>
      </c>
      <c r="D57" t="s">
        <v>916</v>
      </c>
      <c r="E57" t="s">
        <v>917</v>
      </c>
    </row>
    <row r="58" spans="1:5" x14ac:dyDescent="0.25">
      <c r="A58" t="s">
        <v>424</v>
      </c>
      <c r="B58">
        <v>33</v>
      </c>
      <c r="C58" t="s">
        <v>843</v>
      </c>
      <c r="D58" t="s">
        <v>918</v>
      </c>
      <c r="E58" t="s">
        <v>919</v>
      </c>
    </row>
    <row r="59" spans="1:5" x14ac:dyDescent="0.25">
      <c r="A59" t="s">
        <v>701</v>
      </c>
      <c r="B59">
        <v>33</v>
      </c>
      <c r="C59" t="s">
        <v>176</v>
      </c>
      <c r="D59" t="s">
        <v>920</v>
      </c>
      <c r="E59" t="s">
        <v>921</v>
      </c>
    </row>
    <row r="60" spans="1:5" x14ac:dyDescent="0.25">
      <c r="A60" t="s">
        <v>586</v>
      </c>
      <c r="B60">
        <v>33</v>
      </c>
      <c r="C60" t="s">
        <v>204</v>
      </c>
      <c r="D60" t="s">
        <v>922</v>
      </c>
      <c r="E60" t="s">
        <v>923</v>
      </c>
    </row>
    <row r="61" spans="1:5" x14ac:dyDescent="0.25">
      <c r="A61" t="s">
        <v>718</v>
      </c>
      <c r="B61">
        <v>33</v>
      </c>
      <c r="C61" t="s">
        <v>810</v>
      </c>
      <c r="D61" t="s">
        <v>924</v>
      </c>
      <c r="E61" t="s">
        <v>925</v>
      </c>
    </row>
    <row r="62" spans="1:5" x14ac:dyDescent="0.25">
      <c r="A62" t="s">
        <v>356</v>
      </c>
      <c r="B62">
        <v>32</v>
      </c>
      <c r="C62" t="s">
        <v>798</v>
      </c>
      <c r="D62" t="s">
        <v>926</v>
      </c>
      <c r="E62" t="s">
        <v>927</v>
      </c>
    </row>
    <row r="63" spans="1:5" x14ac:dyDescent="0.25">
      <c r="A63" t="s">
        <v>442</v>
      </c>
      <c r="B63">
        <v>32</v>
      </c>
      <c r="C63" t="s">
        <v>194</v>
      </c>
      <c r="D63" t="s">
        <v>928</v>
      </c>
      <c r="E63" t="s">
        <v>929</v>
      </c>
    </row>
    <row r="64" spans="1:5" x14ac:dyDescent="0.25">
      <c r="A64" t="s">
        <v>497</v>
      </c>
      <c r="B64">
        <v>32</v>
      </c>
      <c r="C64" t="s">
        <v>189</v>
      </c>
      <c r="D64" t="s">
        <v>930</v>
      </c>
      <c r="E64" t="s">
        <v>931</v>
      </c>
    </row>
    <row r="65" spans="1:5" x14ac:dyDescent="0.25">
      <c r="A65" t="s">
        <v>354</v>
      </c>
      <c r="B65">
        <v>31</v>
      </c>
      <c r="C65" t="s">
        <v>833</v>
      </c>
      <c r="D65" t="s">
        <v>932</v>
      </c>
      <c r="E65" t="s">
        <v>933</v>
      </c>
    </row>
    <row r="66" spans="1:5" x14ac:dyDescent="0.25">
      <c r="A66" t="s">
        <v>557</v>
      </c>
      <c r="B66">
        <v>31</v>
      </c>
      <c r="C66" t="s">
        <v>795</v>
      </c>
      <c r="D66" t="s">
        <v>934</v>
      </c>
      <c r="E66" t="s">
        <v>935</v>
      </c>
    </row>
    <row r="67" spans="1:5" x14ac:dyDescent="0.25">
      <c r="A67" t="s">
        <v>556</v>
      </c>
      <c r="B67">
        <v>31</v>
      </c>
      <c r="C67" t="s">
        <v>804</v>
      </c>
      <c r="D67" t="s">
        <v>936</v>
      </c>
      <c r="E67" t="s">
        <v>937</v>
      </c>
    </row>
    <row r="68" spans="1:5" x14ac:dyDescent="0.25">
      <c r="A68" t="s">
        <v>514</v>
      </c>
      <c r="B68">
        <v>31</v>
      </c>
      <c r="C68" t="s">
        <v>801</v>
      </c>
      <c r="D68" t="s">
        <v>938</v>
      </c>
      <c r="E68" t="s">
        <v>939</v>
      </c>
    </row>
    <row r="69" spans="1:5" x14ac:dyDescent="0.25">
      <c r="A69" t="s">
        <v>697</v>
      </c>
      <c r="B69">
        <v>31</v>
      </c>
      <c r="C69" t="s">
        <v>202</v>
      </c>
      <c r="D69" t="s">
        <v>940</v>
      </c>
      <c r="E69" t="s">
        <v>941</v>
      </c>
    </row>
    <row r="70" spans="1:5" x14ac:dyDescent="0.25">
      <c r="A70" t="s">
        <v>719</v>
      </c>
      <c r="B70">
        <v>31</v>
      </c>
      <c r="C70" t="s">
        <v>833</v>
      </c>
      <c r="D70" t="s">
        <v>942</v>
      </c>
      <c r="E70" t="s">
        <v>943</v>
      </c>
    </row>
    <row r="71" spans="1:5" x14ac:dyDescent="0.25">
      <c r="A71" t="s">
        <v>582</v>
      </c>
      <c r="B71">
        <v>31</v>
      </c>
      <c r="C71" t="s">
        <v>795</v>
      </c>
      <c r="D71" t="s">
        <v>944</v>
      </c>
      <c r="E71" t="s">
        <v>945</v>
      </c>
    </row>
    <row r="72" spans="1:5" x14ac:dyDescent="0.25">
      <c r="A72" t="s">
        <v>417</v>
      </c>
      <c r="B72">
        <v>30</v>
      </c>
      <c r="C72" t="s">
        <v>186</v>
      </c>
      <c r="D72" t="s">
        <v>946</v>
      </c>
      <c r="E72" t="s">
        <v>947</v>
      </c>
    </row>
    <row r="73" spans="1:5" x14ac:dyDescent="0.25">
      <c r="A73" t="s">
        <v>346</v>
      </c>
      <c r="B73">
        <v>30</v>
      </c>
      <c r="C73" t="s">
        <v>801</v>
      </c>
      <c r="D73" t="s">
        <v>948</v>
      </c>
      <c r="E73" t="s">
        <v>949</v>
      </c>
    </row>
    <row r="74" spans="1:5" x14ac:dyDescent="0.25">
      <c r="A74" t="s">
        <v>503</v>
      </c>
      <c r="B74">
        <v>30</v>
      </c>
      <c r="C74" t="s">
        <v>181</v>
      </c>
      <c r="D74" t="s">
        <v>950</v>
      </c>
      <c r="E74" t="s">
        <v>951</v>
      </c>
    </row>
    <row r="75" spans="1:5" x14ac:dyDescent="0.25">
      <c r="A75" t="s">
        <v>394</v>
      </c>
      <c r="B75">
        <v>30</v>
      </c>
      <c r="C75" t="s">
        <v>194</v>
      </c>
      <c r="D75" t="s">
        <v>952</v>
      </c>
      <c r="E75" t="s">
        <v>953</v>
      </c>
    </row>
    <row r="76" spans="1:5" x14ac:dyDescent="0.25">
      <c r="A76" t="s">
        <v>610</v>
      </c>
      <c r="B76">
        <v>30</v>
      </c>
      <c r="C76" t="s">
        <v>885</v>
      </c>
      <c r="D76" t="s">
        <v>954</v>
      </c>
      <c r="E76" t="s">
        <v>955</v>
      </c>
    </row>
    <row r="77" spans="1:5" x14ac:dyDescent="0.25">
      <c r="A77" t="s">
        <v>378</v>
      </c>
      <c r="B77">
        <v>29</v>
      </c>
      <c r="C77" t="s">
        <v>874</v>
      </c>
      <c r="D77" t="s">
        <v>956</v>
      </c>
      <c r="E77" t="s">
        <v>957</v>
      </c>
    </row>
    <row r="78" spans="1:5" x14ac:dyDescent="0.25">
      <c r="A78" t="s">
        <v>524</v>
      </c>
      <c r="B78">
        <v>29</v>
      </c>
      <c r="C78" t="s">
        <v>813</v>
      </c>
      <c r="D78" t="s">
        <v>958</v>
      </c>
      <c r="E78" t="s">
        <v>959</v>
      </c>
    </row>
    <row r="79" spans="1:5" x14ac:dyDescent="0.25">
      <c r="A79" t="s">
        <v>454</v>
      </c>
      <c r="B79">
        <v>29</v>
      </c>
      <c r="C79" t="s">
        <v>833</v>
      </c>
      <c r="D79" t="s">
        <v>960</v>
      </c>
      <c r="E79" t="s">
        <v>961</v>
      </c>
    </row>
    <row r="80" spans="1:5" x14ac:dyDescent="0.25">
      <c r="A80" t="s">
        <v>347</v>
      </c>
      <c r="B80">
        <v>29</v>
      </c>
      <c r="C80" t="s">
        <v>874</v>
      </c>
      <c r="D80" t="s">
        <v>962</v>
      </c>
      <c r="E80" t="s">
        <v>963</v>
      </c>
    </row>
    <row r="81" spans="1:5" x14ac:dyDescent="0.25">
      <c r="A81" t="s">
        <v>536</v>
      </c>
      <c r="B81">
        <v>29</v>
      </c>
      <c r="C81" t="s">
        <v>186</v>
      </c>
      <c r="D81" t="s">
        <v>964</v>
      </c>
      <c r="E81" t="s">
        <v>965</v>
      </c>
    </row>
    <row r="82" spans="1:5" x14ac:dyDescent="0.25">
      <c r="A82" t="s">
        <v>563</v>
      </c>
      <c r="B82">
        <v>29</v>
      </c>
      <c r="C82" t="s">
        <v>221</v>
      </c>
      <c r="D82" t="s">
        <v>966</v>
      </c>
      <c r="E82" t="s">
        <v>967</v>
      </c>
    </row>
    <row r="83" spans="1:5" x14ac:dyDescent="0.25">
      <c r="A83" t="s">
        <v>486</v>
      </c>
      <c r="B83">
        <v>29</v>
      </c>
      <c r="C83" t="s">
        <v>843</v>
      </c>
      <c r="D83" t="s">
        <v>968</v>
      </c>
      <c r="E83" t="s">
        <v>969</v>
      </c>
    </row>
    <row r="84" spans="1:5" x14ac:dyDescent="0.25">
      <c r="A84" t="s">
        <v>699</v>
      </c>
      <c r="B84">
        <v>29</v>
      </c>
      <c r="C84" t="s">
        <v>189</v>
      </c>
      <c r="D84" t="s">
        <v>970</v>
      </c>
      <c r="E84" t="s">
        <v>971</v>
      </c>
    </row>
    <row r="85" spans="1:5" x14ac:dyDescent="0.25">
      <c r="A85" t="s">
        <v>703</v>
      </c>
      <c r="B85">
        <v>29</v>
      </c>
      <c r="C85" t="s">
        <v>874</v>
      </c>
      <c r="D85" t="s">
        <v>972</v>
      </c>
      <c r="E85" t="s">
        <v>973</v>
      </c>
    </row>
    <row r="86" spans="1:5" x14ac:dyDescent="0.25">
      <c r="A86" t="s">
        <v>576</v>
      </c>
      <c r="B86">
        <v>29</v>
      </c>
      <c r="C86" t="s">
        <v>795</v>
      </c>
      <c r="D86" t="s">
        <v>974</v>
      </c>
      <c r="E86" t="s">
        <v>975</v>
      </c>
    </row>
    <row r="87" spans="1:5" x14ac:dyDescent="0.25">
      <c r="A87" t="s">
        <v>352</v>
      </c>
      <c r="B87">
        <v>28</v>
      </c>
      <c r="C87" t="s">
        <v>874</v>
      </c>
      <c r="D87" t="s">
        <v>976</v>
      </c>
      <c r="E87" t="s">
        <v>977</v>
      </c>
    </row>
    <row r="88" spans="1:5" x14ac:dyDescent="0.25">
      <c r="A88" t="s">
        <v>426</v>
      </c>
      <c r="B88">
        <v>28</v>
      </c>
      <c r="C88" t="s">
        <v>810</v>
      </c>
      <c r="D88" t="s">
        <v>978</v>
      </c>
      <c r="E88" t="s">
        <v>979</v>
      </c>
    </row>
    <row r="89" spans="1:5" x14ac:dyDescent="0.25">
      <c r="A89" t="s">
        <v>548</v>
      </c>
      <c r="B89">
        <v>28</v>
      </c>
      <c r="C89" t="s">
        <v>204</v>
      </c>
      <c r="D89" t="s">
        <v>980</v>
      </c>
      <c r="E89" t="s">
        <v>981</v>
      </c>
    </row>
    <row r="90" spans="1:5" x14ac:dyDescent="0.25">
      <c r="A90" t="s">
        <v>567</v>
      </c>
      <c r="B90">
        <v>28</v>
      </c>
      <c r="C90" t="s">
        <v>189</v>
      </c>
      <c r="D90" t="s">
        <v>982</v>
      </c>
      <c r="E90" t="s">
        <v>983</v>
      </c>
    </row>
    <row r="91" spans="1:5" x14ac:dyDescent="0.25">
      <c r="A91" t="s">
        <v>704</v>
      </c>
      <c r="B91">
        <v>28</v>
      </c>
      <c r="C91" t="s">
        <v>202</v>
      </c>
      <c r="D91" t="s">
        <v>984</v>
      </c>
      <c r="E91" t="s">
        <v>985</v>
      </c>
    </row>
    <row r="92" spans="1:5" x14ac:dyDescent="0.25">
      <c r="A92" t="s">
        <v>720</v>
      </c>
      <c r="B92">
        <v>28</v>
      </c>
      <c r="C92" t="s">
        <v>181</v>
      </c>
      <c r="D92" t="s">
        <v>986</v>
      </c>
      <c r="E92" t="s">
        <v>987</v>
      </c>
    </row>
    <row r="93" spans="1:5" x14ac:dyDescent="0.25">
      <c r="A93" t="s">
        <v>399</v>
      </c>
      <c r="B93">
        <v>27</v>
      </c>
      <c r="C93" t="s">
        <v>833</v>
      </c>
      <c r="D93" t="s">
        <v>988</v>
      </c>
      <c r="E93" t="s">
        <v>989</v>
      </c>
    </row>
    <row r="94" spans="1:5" x14ac:dyDescent="0.25">
      <c r="A94" t="s">
        <v>379</v>
      </c>
      <c r="B94">
        <v>27</v>
      </c>
      <c r="C94" t="s">
        <v>798</v>
      </c>
      <c r="D94" t="s">
        <v>990</v>
      </c>
      <c r="E94" t="s">
        <v>991</v>
      </c>
    </row>
    <row r="95" spans="1:5" x14ac:dyDescent="0.25">
      <c r="A95" t="s">
        <v>779</v>
      </c>
      <c r="B95">
        <v>27</v>
      </c>
      <c r="C95" t="s">
        <v>202</v>
      </c>
      <c r="D95" t="s">
        <v>992</v>
      </c>
      <c r="E95" t="s">
        <v>993</v>
      </c>
    </row>
    <row r="96" spans="1:5" x14ac:dyDescent="0.25">
      <c r="A96" t="s">
        <v>631</v>
      </c>
      <c r="B96">
        <v>27</v>
      </c>
      <c r="C96" t="s">
        <v>204</v>
      </c>
      <c r="D96" t="s">
        <v>994</v>
      </c>
      <c r="E96" t="s">
        <v>995</v>
      </c>
    </row>
    <row r="97" spans="1:5" x14ac:dyDescent="0.25">
      <c r="A97" t="s">
        <v>645</v>
      </c>
      <c r="B97">
        <v>27</v>
      </c>
      <c r="C97" t="s">
        <v>189</v>
      </c>
      <c r="D97" t="s">
        <v>996</v>
      </c>
      <c r="E97" t="s">
        <v>997</v>
      </c>
    </row>
    <row r="98" spans="1:5" x14ac:dyDescent="0.25">
      <c r="A98" t="s">
        <v>545</v>
      </c>
      <c r="B98">
        <v>26</v>
      </c>
      <c r="C98" t="s">
        <v>181</v>
      </c>
      <c r="D98" t="s">
        <v>998</v>
      </c>
      <c r="E98" t="s">
        <v>999</v>
      </c>
    </row>
    <row r="99" spans="1:5" x14ac:dyDescent="0.25">
      <c r="A99" t="s">
        <v>397</v>
      </c>
      <c r="B99">
        <v>26</v>
      </c>
      <c r="C99" t="s">
        <v>204</v>
      </c>
      <c r="D99" t="s">
        <v>1000</v>
      </c>
      <c r="E99" t="s">
        <v>1001</v>
      </c>
    </row>
    <row r="100" spans="1:5" x14ac:dyDescent="0.25">
      <c r="A100" t="s">
        <v>431</v>
      </c>
      <c r="B100">
        <v>26</v>
      </c>
      <c r="C100" t="s">
        <v>204</v>
      </c>
      <c r="D100" t="s">
        <v>1002</v>
      </c>
      <c r="E100" t="s">
        <v>1003</v>
      </c>
    </row>
    <row r="101" spans="1:5" x14ac:dyDescent="0.25">
      <c r="A101" t="s">
        <v>372</v>
      </c>
      <c r="B101">
        <v>26</v>
      </c>
      <c r="C101" t="s">
        <v>833</v>
      </c>
      <c r="D101" t="s">
        <v>1004</v>
      </c>
      <c r="E101" t="s">
        <v>1005</v>
      </c>
    </row>
    <row r="102" spans="1:5" x14ac:dyDescent="0.25">
      <c r="A102" t="s">
        <v>481</v>
      </c>
      <c r="B102">
        <v>26</v>
      </c>
      <c r="C102" t="s">
        <v>885</v>
      </c>
      <c r="D102" t="s">
        <v>1006</v>
      </c>
      <c r="E102" t="s">
        <v>1007</v>
      </c>
    </row>
    <row r="103" spans="1:5" x14ac:dyDescent="0.25">
      <c r="A103" t="s">
        <v>474</v>
      </c>
      <c r="B103">
        <v>26</v>
      </c>
      <c r="C103" t="s">
        <v>795</v>
      </c>
      <c r="D103" t="s">
        <v>1008</v>
      </c>
      <c r="E103" t="s">
        <v>1009</v>
      </c>
    </row>
    <row r="104" spans="1:5" x14ac:dyDescent="0.25">
      <c r="A104" t="s">
        <v>470</v>
      </c>
      <c r="B104">
        <v>26</v>
      </c>
      <c r="C104" t="s">
        <v>843</v>
      </c>
      <c r="D104" t="s">
        <v>1010</v>
      </c>
      <c r="E104" t="s">
        <v>1011</v>
      </c>
    </row>
    <row r="105" spans="1:5" x14ac:dyDescent="0.25">
      <c r="A105" t="s">
        <v>528</v>
      </c>
      <c r="B105">
        <v>26</v>
      </c>
      <c r="C105" t="s">
        <v>843</v>
      </c>
      <c r="D105" t="s">
        <v>1012</v>
      </c>
      <c r="E105" t="s">
        <v>1013</v>
      </c>
    </row>
    <row r="106" spans="1:5" x14ac:dyDescent="0.25">
      <c r="A106" t="s">
        <v>706</v>
      </c>
      <c r="B106">
        <v>26</v>
      </c>
      <c r="C106" t="s">
        <v>801</v>
      </c>
      <c r="D106" t="s">
        <v>1014</v>
      </c>
      <c r="E106" t="s">
        <v>1015</v>
      </c>
    </row>
    <row r="107" spans="1:5" x14ac:dyDescent="0.25">
      <c r="A107" t="s">
        <v>515</v>
      </c>
      <c r="B107">
        <v>26</v>
      </c>
      <c r="C107" t="s">
        <v>181</v>
      </c>
      <c r="D107" t="s">
        <v>1016</v>
      </c>
      <c r="E107" t="s">
        <v>1017</v>
      </c>
    </row>
    <row r="108" spans="1:5" x14ac:dyDescent="0.25">
      <c r="A108" t="s">
        <v>711</v>
      </c>
      <c r="B108">
        <v>26</v>
      </c>
      <c r="C108" t="s">
        <v>801</v>
      </c>
      <c r="D108" t="s">
        <v>1018</v>
      </c>
      <c r="E108" t="s">
        <v>1019</v>
      </c>
    </row>
    <row r="109" spans="1:5" x14ac:dyDescent="0.25">
      <c r="A109" t="s">
        <v>418</v>
      </c>
      <c r="B109">
        <v>25</v>
      </c>
      <c r="C109" t="s">
        <v>795</v>
      </c>
      <c r="D109" t="s">
        <v>1020</v>
      </c>
      <c r="E109" t="s">
        <v>1021</v>
      </c>
    </row>
    <row r="110" spans="1:5" x14ac:dyDescent="0.25">
      <c r="A110" t="s">
        <v>407</v>
      </c>
      <c r="B110">
        <v>25</v>
      </c>
      <c r="C110" t="s">
        <v>204</v>
      </c>
      <c r="D110" t="s">
        <v>1022</v>
      </c>
      <c r="E110" t="s">
        <v>1023</v>
      </c>
    </row>
    <row r="111" spans="1:5" x14ac:dyDescent="0.25">
      <c r="A111" t="s">
        <v>568</v>
      </c>
      <c r="B111">
        <v>25</v>
      </c>
      <c r="C111" t="s">
        <v>202</v>
      </c>
      <c r="D111" t="s">
        <v>1024</v>
      </c>
      <c r="E111" t="s">
        <v>1025</v>
      </c>
    </row>
    <row r="112" spans="1:5" x14ac:dyDescent="0.25">
      <c r="A112" t="s">
        <v>446</v>
      </c>
      <c r="B112">
        <v>25</v>
      </c>
      <c r="C112" t="s">
        <v>221</v>
      </c>
      <c r="D112" t="s">
        <v>1026</v>
      </c>
      <c r="E112" t="s">
        <v>1027</v>
      </c>
    </row>
    <row r="113" spans="1:5" x14ac:dyDescent="0.25">
      <c r="A113" t="s">
        <v>650</v>
      </c>
      <c r="B113">
        <v>25</v>
      </c>
      <c r="C113" t="s">
        <v>801</v>
      </c>
      <c r="D113" t="s">
        <v>1028</v>
      </c>
      <c r="E113" t="s">
        <v>1029</v>
      </c>
    </row>
    <row r="114" spans="1:5" x14ac:dyDescent="0.25">
      <c r="A114" t="s">
        <v>344</v>
      </c>
      <c r="B114">
        <v>24</v>
      </c>
      <c r="C114" t="s">
        <v>186</v>
      </c>
      <c r="D114" t="s">
        <v>1030</v>
      </c>
      <c r="E114" t="s">
        <v>1031</v>
      </c>
    </row>
    <row r="115" spans="1:5" x14ac:dyDescent="0.25">
      <c r="A115" t="s">
        <v>369</v>
      </c>
      <c r="B115">
        <v>24</v>
      </c>
      <c r="C115" t="s">
        <v>843</v>
      </c>
      <c r="D115" t="s">
        <v>1032</v>
      </c>
      <c r="E115" t="s">
        <v>1033</v>
      </c>
    </row>
    <row r="116" spans="1:5" x14ac:dyDescent="0.25">
      <c r="A116" t="s">
        <v>460</v>
      </c>
      <c r="B116">
        <v>24</v>
      </c>
      <c r="C116" t="s">
        <v>221</v>
      </c>
      <c r="D116" t="s">
        <v>1034</v>
      </c>
      <c r="E116" t="s">
        <v>1035</v>
      </c>
    </row>
    <row r="117" spans="1:5" x14ac:dyDescent="0.25">
      <c r="A117" t="s">
        <v>609</v>
      </c>
      <c r="B117">
        <v>24</v>
      </c>
      <c r="C117" t="s">
        <v>176</v>
      </c>
      <c r="D117" t="s">
        <v>1036</v>
      </c>
      <c r="E117" t="s">
        <v>1037</v>
      </c>
    </row>
    <row r="118" spans="1:5" x14ac:dyDescent="0.25">
      <c r="A118" t="s">
        <v>521</v>
      </c>
      <c r="B118">
        <v>24</v>
      </c>
      <c r="C118" t="s">
        <v>874</v>
      </c>
      <c r="D118" t="s">
        <v>1038</v>
      </c>
      <c r="E118" t="s">
        <v>1039</v>
      </c>
    </row>
    <row r="119" spans="1:5" x14ac:dyDescent="0.25">
      <c r="A119" t="s">
        <v>722</v>
      </c>
      <c r="B119">
        <v>24</v>
      </c>
      <c r="C119" t="s">
        <v>874</v>
      </c>
      <c r="D119" t="s">
        <v>1040</v>
      </c>
      <c r="E119" t="s">
        <v>1041</v>
      </c>
    </row>
    <row r="120" spans="1:5" x14ac:dyDescent="0.25">
      <c r="A120" t="s">
        <v>637</v>
      </c>
      <c r="B120">
        <v>24</v>
      </c>
      <c r="C120" t="s">
        <v>833</v>
      </c>
      <c r="D120" t="s">
        <v>1042</v>
      </c>
      <c r="E120" t="s">
        <v>1043</v>
      </c>
    </row>
    <row r="121" spans="1:5" x14ac:dyDescent="0.25">
      <c r="A121" t="s">
        <v>643</v>
      </c>
      <c r="B121">
        <v>24</v>
      </c>
      <c r="C121" t="s">
        <v>885</v>
      </c>
      <c r="D121" t="s">
        <v>1044</v>
      </c>
      <c r="E121" t="s">
        <v>1045</v>
      </c>
    </row>
    <row r="122" spans="1:5" x14ac:dyDescent="0.25">
      <c r="A122" t="s">
        <v>763</v>
      </c>
      <c r="B122">
        <v>24</v>
      </c>
      <c r="C122" t="s">
        <v>202</v>
      </c>
      <c r="D122" t="s">
        <v>1046</v>
      </c>
      <c r="E122" t="s">
        <v>1047</v>
      </c>
    </row>
    <row r="123" spans="1:5" x14ac:dyDescent="0.25">
      <c r="A123" t="s">
        <v>360</v>
      </c>
      <c r="B123">
        <v>23</v>
      </c>
      <c r="C123" t="s">
        <v>795</v>
      </c>
      <c r="D123" t="s">
        <v>1048</v>
      </c>
      <c r="E123" t="s">
        <v>1049</v>
      </c>
    </row>
    <row r="124" spans="1:5" x14ac:dyDescent="0.25">
      <c r="A124" t="s">
        <v>363</v>
      </c>
      <c r="B124">
        <v>23</v>
      </c>
      <c r="C124" t="s">
        <v>885</v>
      </c>
      <c r="D124" t="s">
        <v>1050</v>
      </c>
      <c r="E124" t="s">
        <v>1051</v>
      </c>
    </row>
    <row r="125" spans="1:5" x14ac:dyDescent="0.25">
      <c r="A125" t="s">
        <v>731</v>
      </c>
      <c r="B125">
        <v>23</v>
      </c>
      <c r="C125" t="s">
        <v>189</v>
      </c>
      <c r="D125" t="s">
        <v>1052</v>
      </c>
      <c r="E125" t="s">
        <v>1053</v>
      </c>
    </row>
    <row r="126" spans="1:5" x14ac:dyDescent="0.25">
      <c r="A126" t="s">
        <v>604</v>
      </c>
      <c r="B126">
        <v>23</v>
      </c>
      <c r="C126" t="s">
        <v>189</v>
      </c>
      <c r="D126" t="s">
        <v>1054</v>
      </c>
      <c r="E126" t="s">
        <v>1055</v>
      </c>
    </row>
    <row r="127" spans="1:5" x14ac:dyDescent="0.25">
      <c r="A127" t="s">
        <v>705</v>
      </c>
      <c r="B127">
        <v>23</v>
      </c>
      <c r="C127" t="s">
        <v>176</v>
      </c>
      <c r="D127" t="s">
        <v>1056</v>
      </c>
      <c r="E127" t="s">
        <v>1057</v>
      </c>
    </row>
    <row r="128" spans="1:5" x14ac:dyDescent="0.25">
      <c r="A128" t="s">
        <v>721</v>
      </c>
      <c r="B128">
        <v>23</v>
      </c>
      <c r="C128" t="s">
        <v>194</v>
      </c>
      <c r="D128" t="s">
        <v>1058</v>
      </c>
      <c r="E128" t="s">
        <v>1059</v>
      </c>
    </row>
    <row r="129" spans="1:5" x14ac:dyDescent="0.25">
      <c r="A129" t="s">
        <v>665</v>
      </c>
      <c r="B129">
        <v>23</v>
      </c>
      <c r="C129" t="s">
        <v>202</v>
      </c>
      <c r="D129" t="s">
        <v>1060</v>
      </c>
      <c r="E129" t="s">
        <v>1061</v>
      </c>
    </row>
    <row r="130" spans="1:5" x14ac:dyDescent="0.25">
      <c r="A130" t="s">
        <v>366</v>
      </c>
      <c r="B130">
        <v>22</v>
      </c>
      <c r="C130" t="s">
        <v>204</v>
      </c>
      <c r="D130" t="s">
        <v>1062</v>
      </c>
      <c r="E130" t="s">
        <v>1063</v>
      </c>
    </row>
    <row r="131" spans="1:5" x14ac:dyDescent="0.25">
      <c r="A131" t="s">
        <v>433</v>
      </c>
      <c r="B131">
        <v>22</v>
      </c>
      <c r="C131" t="s">
        <v>874</v>
      </c>
      <c r="D131" t="s">
        <v>1064</v>
      </c>
      <c r="E131" t="s">
        <v>1065</v>
      </c>
    </row>
    <row r="132" spans="1:5" x14ac:dyDescent="0.25">
      <c r="A132" t="s">
        <v>531</v>
      </c>
      <c r="B132">
        <v>22</v>
      </c>
      <c r="C132" t="s">
        <v>798</v>
      </c>
      <c r="D132" t="s">
        <v>1066</v>
      </c>
      <c r="E132" t="s">
        <v>1067</v>
      </c>
    </row>
    <row r="133" spans="1:5" x14ac:dyDescent="0.25">
      <c r="A133" t="s">
        <v>532</v>
      </c>
      <c r="B133">
        <v>22</v>
      </c>
      <c r="C133" t="s">
        <v>204</v>
      </c>
      <c r="D133" t="s">
        <v>1068</v>
      </c>
      <c r="E133" t="s">
        <v>1069</v>
      </c>
    </row>
    <row r="134" spans="1:5" x14ac:dyDescent="0.25">
      <c r="A134" t="s">
        <v>423</v>
      </c>
      <c r="B134">
        <v>22</v>
      </c>
      <c r="C134" t="s">
        <v>885</v>
      </c>
      <c r="D134" t="s">
        <v>1070</v>
      </c>
      <c r="E134" t="s">
        <v>1071</v>
      </c>
    </row>
    <row r="135" spans="1:5" x14ac:dyDescent="0.25">
      <c r="A135" t="s">
        <v>538</v>
      </c>
      <c r="B135">
        <v>22</v>
      </c>
      <c r="C135" t="s">
        <v>885</v>
      </c>
      <c r="D135" t="s">
        <v>1072</v>
      </c>
      <c r="E135" t="s">
        <v>1073</v>
      </c>
    </row>
    <row r="136" spans="1:5" x14ac:dyDescent="0.25">
      <c r="A136" t="s">
        <v>509</v>
      </c>
      <c r="B136">
        <v>22</v>
      </c>
      <c r="C136" t="s">
        <v>198</v>
      </c>
      <c r="D136" t="s">
        <v>1074</v>
      </c>
      <c r="E136" t="s">
        <v>1075</v>
      </c>
    </row>
    <row r="137" spans="1:5" x14ac:dyDescent="0.25">
      <c r="A137" t="s">
        <v>585</v>
      </c>
      <c r="B137">
        <v>22</v>
      </c>
      <c r="C137" t="s">
        <v>176</v>
      </c>
      <c r="D137" t="s">
        <v>1076</v>
      </c>
      <c r="E137" t="s">
        <v>1077</v>
      </c>
    </row>
    <row r="138" spans="1:5" x14ac:dyDescent="0.25">
      <c r="A138" t="s">
        <v>615</v>
      </c>
      <c r="B138">
        <v>22</v>
      </c>
      <c r="C138" t="s">
        <v>194</v>
      </c>
      <c r="D138" t="s">
        <v>1078</v>
      </c>
      <c r="E138" t="s">
        <v>1079</v>
      </c>
    </row>
    <row r="139" spans="1:5" x14ac:dyDescent="0.25">
      <c r="A139" t="s">
        <v>625</v>
      </c>
      <c r="B139">
        <v>22</v>
      </c>
      <c r="C139" t="s">
        <v>198</v>
      </c>
      <c r="D139" t="s">
        <v>1080</v>
      </c>
      <c r="E139" t="s">
        <v>1081</v>
      </c>
    </row>
    <row r="140" spans="1:5" x14ac:dyDescent="0.25">
      <c r="A140" t="s">
        <v>634</v>
      </c>
      <c r="B140">
        <v>22</v>
      </c>
      <c r="C140" t="s">
        <v>833</v>
      </c>
      <c r="D140" t="s">
        <v>1082</v>
      </c>
      <c r="E140" t="s">
        <v>1083</v>
      </c>
    </row>
    <row r="141" spans="1:5" x14ac:dyDescent="0.25">
      <c r="A141" t="s">
        <v>358</v>
      </c>
      <c r="B141">
        <v>21</v>
      </c>
      <c r="C141" t="s">
        <v>874</v>
      </c>
      <c r="D141" t="s">
        <v>1084</v>
      </c>
      <c r="E141" t="s">
        <v>1085</v>
      </c>
    </row>
    <row r="142" spans="1:5" x14ac:dyDescent="0.25">
      <c r="A142" t="s">
        <v>783</v>
      </c>
      <c r="B142">
        <v>21</v>
      </c>
      <c r="C142" t="s">
        <v>843</v>
      </c>
      <c r="D142" t="s">
        <v>1086</v>
      </c>
      <c r="E142" t="s">
        <v>1087</v>
      </c>
    </row>
    <row r="143" spans="1:5" x14ac:dyDescent="0.25">
      <c r="A143" t="s">
        <v>484</v>
      </c>
      <c r="B143">
        <v>21</v>
      </c>
      <c r="C143" t="s">
        <v>198</v>
      </c>
      <c r="D143" t="s">
        <v>1088</v>
      </c>
      <c r="E143" t="s">
        <v>1089</v>
      </c>
    </row>
    <row r="144" spans="1:5" x14ac:dyDescent="0.25">
      <c r="A144" t="s">
        <v>438</v>
      </c>
      <c r="B144">
        <v>21</v>
      </c>
      <c r="C144" t="s">
        <v>874</v>
      </c>
      <c r="D144" t="s">
        <v>1090</v>
      </c>
      <c r="E144" t="s">
        <v>1091</v>
      </c>
    </row>
    <row r="145" spans="1:5" x14ac:dyDescent="0.25">
      <c r="A145" t="s">
        <v>499</v>
      </c>
      <c r="B145">
        <v>21</v>
      </c>
      <c r="C145" t="s">
        <v>194</v>
      </c>
      <c r="D145" t="s">
        <v>1092</v>
      </c>
      <c r="E145" t="s">
        <v>1093</v>
      </c>
    </row>
    <row r="146" spans="1:5" x14ac:dyDescent="0.25">
      <c r="A146" t="s">
        <v>700</v>
      </c>
      <c r="B146">
        <v>21</v>
      </c>
      <c r="C146" t="s">
        <v>198</v>
      </c>
      <c r="D146" t="s">
        <v>1094</v>
      </c>
      <c r="E146" t="s">
        <v>1095</v>
      </c>
    </row>
    <row r="147" spans="1:5" x14ac:dyDescent="0.25">
      <c r="A147" t="s">
        <v>601</v>
      </c>
      <c r="B147">
        <v>21</v>
      </c>
      <c r="C147" t="s">
        <v>181</v>
      </c>
      <c r="D147" t="s">
        <v>1096</v>
      </c>
      <c r="E147" t="s">
        <v>1097</v>
      </c>
    </row>
    <row r="148" spans="1:5" x14ac:dyDescent="0.25">
      <c r="A148" t="s">
        <v>518</v>
      </c>
      <c r="B148">
        <v>21</v>
      </c>
      <c r="C148" t="s">
        <v>176</v>
      </c>
      <c r="D148" t="s">
        <v>1098</v>
      </c>
      <c r="E148" t="s">
        <v>1099</v>
      </c>
    </row>
    <row r="149" spans="1:5" x14ac:dyDescent="0.25">
      <c r="A149" t="s">
        <v>723</v>
      </c>
      <c r="B149">
        <v>21</v>
      </c>
      <c r="C149" t="s">
        <v>181</v>
      </c>
      <c r="D149" t="s">
        <v>1100</v>
      </c>
      <c r="E149" t="s">
        <v>1101</v>
      </c>
    </row>
    <row r="150" spans="1:5" x14ac:dyDescent="0.25">
      <c r="A150" t="s">
        <v>400</v>
      </c>
      <c r="B150">
        <v>20</v>
      </c>
      <c r="C150" t="s">
        <v>176</v>
      </c>
      <c r="D150" t="s">
        <v>1102</v>
      </c>
      <c r="E150" t="s">
        <v>1103</v>
      </c>
    </row>
    <row r="151" spans="1:5" x14ac:dyDescent="0.25">
      <c r="A151" t="s">
        <v>362</v>
      </c>
      <c r="B151">
        <v>20</v>
      </c>
      <c r="C151" t="s">
        <v>198</v>
      </c>
      <c r="D151" t="s">
        <v>1104</v>
      </c>
      <c r="E151" t="s">
        <v>1105</v>
      </c>
    </row>
    <row r="152" spans="1:5" x14ac:dyDescent="0.25">
      <c r="A152" t="s">
        <v>502</v>
      </c>
      <c r="B152">
        <v>20</v>
      </c>
      <c r="C152" t="s">
        <v>198</v>
      </c>
      <c r="D152" t="s">
        <v>1106</v>
      </c>
      <c r="E152" t="s">
        <v>1107</v>
      </c>
    </row>
    <row r="153" spans="1:5" x14ac:dyDescent="0.25">
      <c r="A153" t="s">
        <v>487</v>
      </c>
      <c r="B153">
        <v>20</v>
      </c>
      <c r="C153" t="s">
        <v>198</v>
      </c>
      <c r="D153" t="s">
        <v>1108</v>
      </c>
      <c r="E153" t="s">
        <v>1109</v>
      </c>
    </row>
    <row r="154" spans="1:5" x14ac:dyDescent="0.25">
      <c r="A154" t="s">
        <v>374</v>
      </c>
      <c r="B154">
        <v>20</v>
      </c>
      <c r="C154" t="s">
        <v>176</v>
      </c>
      <c r="D154" t="s">
        <v>1110</v>
      </c>
      <c r="E154" t="s">
        <v>1111</v>
      </c>
    </row>
    <row r="155" spans="1:5" x14ac:dyDescent="0.25">
      <c r="A155" t="s">
        <v>305</v>
      </c>
      <c r="B155">
        <v>20</v>
      </c>
      <c r="C155" t="s">
        <v>176</v>
      </c>
      <c r="D155" t="s">
        <v>1112</v>
      </c>
      <c r="E155" t="s">
        <v>1113</v>
      </c>
    </row>
    <row r="156" spans="1:5" x14ac:dyDescent="0.25">
      <c r="A156" t="s">
        <v>367</v>
      </c>
      <c r="B156">
        <v>19</v>
      </c>
      <c r="C156" t="s">
        <v>874</v>
      </c>
      <c r="D156" t="s">
        <v>1114</v>
      </c>
      <c r="E156" t="s">
        <v>1115</v>
      </c>
    </row>
    <row r="157" spans="1:5" x14ac:dyDescent="0.25">
      <c r="A157" t="s">
        <v>408</v>
      </c>
      <c r="B157">
        <v>19</v>
      </c>
      <c r="C157" t="s">
        <v>204</v>
      </c>
      <c r="D157" t="s">
        <v>1116</v>
      </c>
      <c r="E157" t="s">
        <v>1117</v>
      </c>
    </row>
    <row r="158" spans="1:5" x14ac:dyDescent="0.25">
      <c r="A158" t="s">
        <v>428</v>
      </c>
      <c r="B158">
        <v>19</v>
      </c>
      <c r="C158" t="s">
        <v>189</v>
      </c>
      <c r="D158" t="s">
        <v>1118</v>
      </c>
      <c r="E158" t="s">
        <v>1119</v>
      </c>
    </row>
    <row r="159" spans="1:5" x14ac:dyDescent="0.25">
      <c r="A159" t="s">
        <v>429</v>
      </c>
      <c r="B159">
        <v>19</v>
      </c>
      <c r="C159" t="s">
        <v>202</v>
      </c>
      <c r="D159" t="s">
        <v>1120</v>
      </c>
      <c r="E159" t="s">
        <v>1121</v>
      </c>
    </row>
    <row r="160" spans="1:5" x14ac:dyDescent="0.25">
      <c r="A160" t="s">
        <v>466</v>
      </c>
      <c r="B160">
        <v>19</v>
      </c>
      <c r="C160" t="s">
        <v>833</v>
      </c>
      <c r="D160" t="s">
        <v>1122</v>
      </c>
      <c r="E160" t="s">
        <v>1123</v>
      </c>
    </row>
    <row r="161" spans="1:5" x14ac:dyDescent="0.25">
      <c r="A161" t="s">
        <v>422</v>
      </c>
      <c r="B161">
        <v>19</v>
      </c>
      <c r="C161" t="s">
        <v>874</v>
      </c>
      <c r="D161" t="s">
        <v>1124</v>
      </c>
      <c r="E161" t="s">
        <v>1125</v>
      </c>
    </row>
    <row r="162" spans="1:5" x14ac:dyDescent="0.25">
      <c r="A162" t="s">
        <v>512</v>
      </c>
      <c r="B162">
        <v>19</v>
      </c>
      <c r="C162" t="s">
        <v>885</v>
      </c>
      <c r="D162" t="s">
        <v>1126</v>
      </c>
      <c r="E162" t="s">
        <v>1127</v>
      </c>
    </row>
    <row r="163" spans="1:5" x14ac:dyDescent="0.25">
      <c r="A163" t="s">
        <v>734</v>
      </c>
      <c r="B163">
        <v>19</v>
      </c>
      <c r="C163" t="s">
        <v>874</v>
      </c>
      <c r="D163" t="s">
        <v>1128</v>
      </c>
      <c r="E163" t="s">
        <v>1129</v>
      </c>
    </row>
    <row r="164" spans="1:5" x14ac:dyDescent="0.25">
      <c r="A164" t="s">
        <v>602</v>
      </c>
      <c r="B164">
        <v>19</v>
      </c>
      <c r="C164" t="s">
        <v>176</v>
      </c>
      <c r="D164" t="s">
        <v>1130</v>
      </c>
      <c r="E164" t="s">
        <v>1131</v>
      </c>
    </row>
    <row r="165" spans="1:5" x14ac:dyDescent="0.25">
      <c r="A165" t="s">
        <v>578</v>
      </c>
      <c r="B165">
        <v>19</v>
      </c>
      <c r="C165" t="s">
        <v>194</v>
      </c>
      <c r="D165" t="s">
        <v>1132</v>
      </c>
      <c r="E165" t="s">
        <v>1133</v>
      </c>
    </row>
    <row r="166" spans="1:5" x14ac:dyDescent="0.25">
      <c r="A166" t="s">
        <v>622</v>
      </c>
      <c r="B166">
        <v>19</v>
      </c>
      <c r="C166" t="s">
        <v>874</v>
      </c>
      <c r="D166" t="s">
        <v>1134</v>
      </c>
      <c r="E166" t="s">
        <v>1135</v>
      </c>
    </row>
    <row r="167" spans="1:5" x14ac:dyDescent="0.25">
      <c r="A167" t="s">
        <v>412</v>
      </c>
      <c r="B167">
        <v>18</v>
      </c>
      <c r="C167" t="s">
        <v>194</v>
      </c>
      <c r="D167" t="s">
        <v>1136</v>
      </c>
      <c r="E167" t="s">
        <v>1137</v>
      </c>
    </row>
    <row r="168" spans="1:5" x14ac:dyDescent="0.25">
      <c r="A168" t="s">
        <v>490</v>
      </c>
      <c r="B168">
        <v>18</v>
      </c>
      <c r="C168" t="s">
        <v>204</v>
      </c>
      <c r="D168" t="s">
        <v>1138</v>
      </c>
      <c r="E168" t="s">
        <v>1139</v>
      </c>
    </row>
    <row r="169" spans="1:5" x14ac:dyDescent="0.25">
      <c r="A169" t="s">
        <v>510</v>
      </c>
      <c r="B169">
        <v>18</v>
      </c>
      <c r="C169" t="s">
        <v>176</v>
      </c>
      <c r="D169" t="s">
        <v>1140</v>
      </c>
      <c r="E169" t="s">
        <v>1141</v>
      </c>
    </row>
    <row r="170" spans="1:5" x14ac:dyDescent="0.25">
      <c r="A170" t="s">
        <v>498</v>
      </c>
      <c r="B170">
        <v>18</v>
      </c>
      <c r="C170" t="s">
        <v>198</v>
      </c>
      <c r="D170" t="s">
        <v>1142</v>
      </c>
      <c r="E170" t="s">
        <v>1143</v>
      </c>
    </row>
    <row r="171" spans="1:5" x14ac:dyDescent="0.25">
      <c r="A171" t="s">
        <v>580</v>
      </c>
      <c r="B171">
        <v>18</v>
      </c>
      <c r="C171" t="s">
        <v>198</v>
      </c>
      <c r="D171" t="s">
        <v>1144</v>
      </c>
      <c r="E171" t="s">
        <v>1145</v>
      </c>
    </row>
    <row r="172" spans="1:5" x14ac:dyDescent="0.25">
      <c r="A172" t="s">
        <v>560</v>
      </c>
      <c r="B172">
        <v>18</v>
      </c>
      <c r="C172" t="s">
        <v>885</v>
      </c>
      <c r="D172" t="s">
        <v>1146</v>
      </c>
      <c r="E172" t="s">
        <v>1147</v>
      </c>
    </row>
    <row r="173" spans="1:5" x14ac:dyDescent="0.25">
      <c r="A173" t="s">
        <v>640</v>
      </c>
      <c r="B173">
        <v>18</v>
      </c>
      <c r="C173" t="s">
        <v>176</v>
      </c>
      <c r="D173" t="s">
        <v>1148</v>
      </c>
      <c r="E173" t="s">
        <v>1149</v>
      </c>
    </row>
    <row r="174" spans="1:5" x14ac:dyDescent="0.25">
      <c r="A174" t="s">
        <v>686</v>
      </c>
      <c r="B174">
        <v>18</v>
      </c>
      <c r="C174" t="s">
        <v>176</v>
      </c>
      <c r="D174" t="s">
        <v>1150</v>
      </c>
      <c r="E174" t="s">
        <v>1151</v>
      </c>
    </row>
    <row r="175" spans="1:5" x14ac:dyDescent="0.25">
      <c r="A175" t="s">
        <v>477</v>
      </c>
      <c r="B175">
        <v>17</v>
      </c>
      <c r="C175" t="s">
        <v>189</v>
      </c>
      <c r="D175" t="s">
        <v>1152</v>
      </c>
      <c r="E175" t="s">
        <v>1153</v>
      </c>
    </row>
    <row r="176" spans="1:5" x14ac:dyDescent="0.25">
      <c r="A176" t="s">
        <v>404</v>
      </c>
      <c r="B176">
        <v>17</v>
      </c>
      <c r="C176" t="s">
        <v>198</v>
      </c>
      <c r="D176" t="s">
        <v>1154</v>
      </c>
      <c r="E176" t="s">
        <v>1155</v>
      </c>
    </row>
    <row r="177" spans="1:5" x14ac:dyDescent="0.25">
      <c r="A177" t="s">
        <v>421</v>
      </c>
      <c r="B177">
        <v>17</v>
      </c>
      <c r="C177" t="s">
        <v>186</v>
      </c>
      <c r="D177" t="s">
        <v>1156</v>
      </c>
      <c r="E177" t="s">
        <v>1157</v>
      </c>
    </row>
    <row r="178" spans="1:5" x14ac:dyDescent="0.25">
      <c r="A178" t="s">
        <v>450</v>
      </c>
      <c r="B178">
        <v>17</v>
      </c>
      <c r="C178" t="s">
        <v>221</v>
      </c>
      <c r="D178" t="s">
        <v>1158</v>
      </c>
      <c r="E178" t="s">
        <v>1159</v>
      </c>
    </row>
    <row r="179" spans="1:5" x14ac:dyDescent="0.25">
      <c r="A179" t="s">
        <v>403</v>
      </c>
      <c r="B179">
        <v>17</v>
      </c>
      <c r="C179" t="s">
        <v>176</v>
      </c>
      <c r="D179" t="s">
        <v>1160</v>
      </c>
      <c r="E179" t="s">
        <v>1161</v>
      </c>
    </row>
    <row r="180" spans="1:5" x14ac:dyDescent="0.25">
      <c r="A180" t="s">
        <v>573</v>
      </c>
      <c r="B180">
        <v>17</v>
      </c>
      <c r="C180" t="s">
        <v>885</v>
      </c>
      <c r="D180" t="s">
        <v>1162</v>
      </c>
      <c r="E180" t="s">
        <v>1163</v>
      </c>
    </row>
    <row r="181" spans="1:5" x14ac:dyDescent="0.25">
      <c r="A181" t="s">
        <v>489</v>
      </c>
      <c r="B181">
        <v>17</v>
      </c>
      <c r="C181" t="s">
        <v>885</v>
      </c>
      <c r="D181" t="s">
        <v>1164</v>
      </c>
      <c r="E181" t="s">
        <v>1165</v>
      </c>
    </row>
    <row r="182" spans="1:5" x14ac:dyDescent="0.25">
      <c r="A182" t="s">
        <v>616</v>
      </c>
      <c r="B182">
        <v>17</v>
      </c>
      <c r="C182" t="s">
        <v>176</v>
      </c>
      <c r="D182" t="s">
        <v>1166</v>
      </c>
      <c r="E182" t="s">
        <v>1167</v>
      </c>
    </row>
    <row r="183" spans="1:5" x14ac:dyDescent="0.25">
      <c r="A183" t="s">
        <v>638</v>
      </c>
      <c r="B183">
        <v>17</v>
      </c>
      <c r="C183" t="s">
        <v>874</v>
      </c>
      <c r="D183" t="s">
        <v>1168</v>
      </c>
      <c r="E183" t="s">
        <v>1169</v>
      </c>
    </row>
    <row r="184" spans="1:5" x14ac:dyDescent="0.25">
      <c r="A184" t="s">
        <v>690</v>
      </c>
      <c r="B184">
        <v>17</v>
      </c>
      <c r="C184" t="s">
        <v>885</v>
      </c>
      <c r="D184" t="s">
        <v>1170</v>
      </c>
      <c r="E184" t="s">
        <v>1171</v>
      </c>
    </row>
    <row r="185" spans="1:5" x14ac:dyDescent="0.25">
      <c r="A185" t="s">
        <v>674</v>
      </c>
      <c r="B185">
        <v>17</v>
      </c>
      <c r="C185" t="s">
        <v>221</v>
      </c>
      <c r="D185" t="s">
        <v>1172</v>
      </c>
      <c r="E185" t="s">
        <v>1173</v>
      </c>
    </row>
    <row r="186" spans="1:5" x14ac:dyDescent="0.25">
      <c r="A186" t="s">
        <v>482</v>
      </c>
      <c r="B186">
        <v>16</v>
      </c>
      <c r="C186" t="s">
        <v>221</v>
      </c>
      <c r="D186" t="s">
        <v>1174</v>
      </c>
      <c r="E186" t="s">
        <v>1175</v>
      </c>
    </row>
    <row r="187" spans="1:5" x14ac:dyDescent="0.25">
      <c r="A187" t="s">
        <v>427</v>
      </c>
      <c r="B187">
        <v>16</v>
      </c>
      <c r="C187" t="s">
        <v>843</v>
      </c>
      <c r="D187" t="s">
        <v>1176</v>
      </c>
      <c r="E187" t="s">
        <v>1177</v>
      </c>
    </row>
    <row r="188" spans="1:5" x14ac:dyDescent="0.25">
      <c r="A188" t="s">
        <v>572</v>
      </c>
      <c r="B188">
        <v>16</v>
      </c>
      <c r="C188" t="s">
        <v>181</v>
      </c>
      <c r="D188" t="s">
        <v>1178</v>
      </c>
      <c r="E188" t="s">
        <v>1179</v>
      </c>
    </row>
    <row r="189" spans="1:5" x14ac:dyDescent="0.25">
      <c r="A189" t="s">
        <v>449</v>
      </c>
      <c r="B189">
        <v>16</v>
      </c>
      <c r="C189" t="s">
        <v>189</v>
      </c>
      <c r="D189" t="s">
        <v>1180</v>
      </c>
      <c r="E189" t="s">
        <v>1181</v>
      </c>
    </row>
    <row r="190" spans="1:5" x14ac:dyDescent="0.25">
      <c r="A190" t="s">
        <v>465</v>
      </c>
      <c r="B190">
        <v>16</v>
      </c>
      <c r="C190" t="s">
        <v>176</v>
      </c>
      <c r="D190" t="s">
        <v>1182</v>
      </c>
      <c r="E190" t="s">
        <v>1183</v>
      </c>
    </row>
    <row r="191" spans="1:5" x14ac:dyDescent="0.25">
      <c r="A191" t="s">
        <v>559</v>
      </c>
      <c r="B191">
        <v>16</v>
      </c>
      <c r="C191" t="s">
        <v>194</v>
      </c>
      <c r="D191" t="s">
        <v>1184</v>
      </c>
      <c r="E191" t="s">
        <v>1185</v>
      </c>
    </row>
    <row r="192" spans="1:5" x14ac:dyDescent="0.25">
      <c r="A192" t="s">
        <v>550</v>
      </c>
      <c r="B192">
        <v>16</v>
      </c>
      <c r="C192" t="s">
        <v>194</v>
      </c>
      <c r="D192" t="s">
        <v>1186</v>
      </c>
      <c r="E192" t="s">
        <v>1187</v>
      </c>
    </row>
    <row r="193" spans="1:5" x14ac:dyDescent="0.25">
      <c r="A193" t="s">
        <v>635</v>
      </c>
      <c r="B193">
        <v>16</v>
      </c>
      <c r="C193" t="s">
        <v>189</v>
      </c>
      <c r="D193" t="s">
        <v>1188</v>
      </c>
      <c r="E193" t="s">
        <v>1189</v>
      </c>
    </row>
    <row r="194" spans="1:5" x14ac:dyDescent="0.25">
      <c r="A194" t="s">
        <v>612</v>
      </c>
      <c r="B194">
        <v>16</v>
      </c>
      <c r="C194" t="s">
        <v>798</v>
      </c>
      <c r="D194" t="s">
        <v>1190</v>
      </c>
      <c r="E194" t="s">
        <v>1191</v>
      </c>
    </row>
    <row r="195" spans="1:5" x14ac:dyDescent="0.25">
      <c r="A195" t="s">
        <v>629</v>
      </c>
      <c r="B195">
        <v>16</v>
      </c>
      <c r="C195" t="s">
        <v>874</v>
      </c>
      <c r="D195" t="s">
        <v>1192</v>
      </c>
      <c r="E195" t="s">
        <v>1193</v>
      </c>
    </row>
    <row r="196" spans="1:5" x14ac:dyDescent="0.25">
      <c r="A196" t="s">
        <v>621</v>
      </c>
      <c r="B196">
        <v>16</v>
      </c>
      <c r="C196" t="s">
        <v>202</v>
      </c>
      <c r="D196" t="s">
        <v>1194</v>
      </c>
      <c r="E196" t="s">
        <v>1195</v>
      </c>
    </row>
    <row r="197" spans="1:5" x14ac:dyDescent="0.25">
      <c r="A197" t="s">
        <v>669</v>
      </c>
      <c r="B197">
        <v>16</v>
      </c>
      <c r="C197" t="s">
        <v>202</v>
      </c>
      <c r="D197" t="s">
        <v>1196</v>
      </c>
      <c r="E197" t="s">
        <v>1197</v>
      </c>
    </row>
    <row r="198" spans="1:5" x14ac:dyDescent="0.25">
      <c r="A198" t="s">
        <v>370</v>
      </c>
      <c r="B198">
        <v>15</v>
      </c>
      <c r="C198" t="s">
        <v>176</v>
      </c>
      <c r="D198" t="s">
        <v>1198</v>
      </c>
      <c r="E198" t="s">
        <v>1199</v>
      </c>
    </row>
    <row r="199" spans="1:5" x14ac:dyDescent="0.25">
      <c r="A199" t="s">
        <v>350</v>
      </c>
      <c r="B199">
        <v>15</v>
      </c>
      <c r="C199" t="s">
        <v>202</v>
      </c>
      <c r="D199" t="s">
        <v>1200</v>
      </c>
      <c r="E199" t="s">
        <v>1201</v>
      </c>
    </row>
    <row r="200" spans="1:5" x14ac:dyDescent="0.25">
      <c r="A200" t="s">
        <v>476</v>
      </c>
      <c r="B200">
        <v>15</v>
      </c>
      <c r="C200" t="s">
        <v>198</v>
      </c>
      <c r="D200" t="s">
        <v>1202</v>
      </c>
      <c r="E200" t="s">
        <v>1203</v>
      </c>
    </row>
    <row r="201" spans="1:5" x14ac:dyDescent="0.25">
      <c r="A201" t="s">
        <v>523</v>
      </c>
      <c r="B201">
        <v>15</v>
      </c>
      <c r="C201" t="s">
        <v>874</v>
      </c>
      <c r="D201" t="s">
        <v>1204</v>
      </c>
      <c r="E201" t="s">
        <v>1205</v>
      </c>
    </row>
    <row r="202" spans="1:5" x14ac:dyDescent="0.25">
      <c r="A202" t="s">
        <v>558</v>
      </c>
      <c r="B202">
        <v>15</v>
      </c>
      <c r="C202" t="s">
        <v>198</v>
      </c>
      <c r="D202" t="s">
        <v>1206</v>
      </c>
      <c r="E202" t="s">
        <v>1207</v>
      </c>
    </row>
    <row r="203" spans="1:5" x14ac:dyDescent="0.25">
      <c r="A203" t="s">
        <v>409</v>
      </c>
      <c r="B203">
        <v>15</v>
      </c>
      <c r="C203" t="s">
        <v>189</v>
      </c>
      <c r="D203" t="s">
        <v>1208</v>
      </c>
      <c r="E203" t="s">
        <v>1209</v>
      </c>
    </row>
    <row r="204" spans="1:5" x14ac:dyDescent="0.25">
      <c r="A204" t="s">
        <v>483</v>
      </c>
      <c r="B204">
        <v>15</v>
      </c>
      <c r="C204" t="s">
        <v>885</v>
      </c>
      <c r="D204" t="s">
        <v>1210</v>
      </c>
      <c r="E204" t="s">
        <v>1211</v>
      </c>
    </row>
    <row r="205" spans="1:5" x14ac:dyDescent="0.25">
      <c r="A205" t="s">
        <v>544</v>
      </c>
      <c r="B205">
        <v>15</v>
      </c>
      <c r="C205" t="s">
        <v>181</v>
      </c>
      <c r="D205" t="s">
        <v>1212</v>
      </c>
      <c r="E205" t="s">
        <v>1213</v>
      </c>
    </row>
    <row r="206" spans="1:5" x14ac:dyDescent="0.25">
      <c r="A206" t="s">
        <v>525</v>
      </c>
      <c r="B206">
        <v>15</v>
      </c>
      <c r="C206" t="s">
        <v>874</v>
      </c>
      <c r="D206" t="s">
        <v>1214</v>
      </c>
      <c r="E206" t="s">
        <v>1215</v>
      </c>
    </row>
    <row r="207" spans="1:5" x14ac:dyDescent="0.25">
      <c r="A207" t="s">
        <v>513</v>
      </c>
      <c r="B207">
        <v>15</v>
      </c>
      <c r="C207" t="s">
        <v>189</v>
      </c>
      <c r="D207" t="s">
        <v>1216</v>
      </c>
      <c r="E207" t="s">
        <v>1217</v>
      </c>
    </row>
    <row r="208" spans="1:5" x14ac:dyDescent="0.25">
      <c r="A208" t="s">
        <v>630</v>
      </c>
      <c r="B208">
        <v>15</v>
      </c>
      <c r="C208" t="s">
        <v>204</v>
      </c>
      <c r="D208" t="s">
        <v>1218</v>
      </c>
      <c r="E208" t="s">
        <v>1219</v>
      </c>
    </row>
    <row r="209" spans="1:5" x14ac:dyDescent="0.25">
      <c r="A209" t="s">
        <v>619</v>
      </c>
      <c r="B209">
        <v>15</v>
      </c>
      <c r="C209" t="s">
        <v>186</v>
      </c>
      <c r="D209" t="s">
        <v>1220</v>
      </c>
      <c r="E209" t="s">
        <v>1221</v>
      </c>
    </row>
    <row r="210" spans="1:5" x14ac:dyDescent="0.25">
      <c r="A210" t="s">
        <v>566</v>
      </c>
      <c r="B210">
        <v>15</v>
      </c>
      <c r="C210" t="s">
        <v>176</v>
      </c>
      <c r="D210" t="s">
        <v>1222</v>
      </c>
      <c r="E210" t="s">
        <v>1223</v>
      </c>
    </row>
    <row r="211" spans="1:5" x14ac:dyDescent="0.25">
      <c r="A211" t="s">
        <v>349</v>
      </c>
      <c r="B211">
        <v>14</v>
      </c>
      <c r="C211" t="s">
        <v>194</v>
      </c>
      <c r="D211" t="s">
        <v>1224</v>
      </c>
      <c r="E211" t="s">
        <v>1225</v>
      </c>
    </row>
    <row r="212" spans="1:5" x14ac:dyDescent="0.25">
      <c r="A212" t="s">
        <v>345</v>
      </c>
      <c r="B212">
        <v>14</v>
      </c>
      <c r="C212" t="s">
        <v>885</v>
      </c>
      <c r="D212" t="s">
        <v>1226</v>
      </c>
      <c r="E212" t="s">
        <v>1227</v>
      </c>
    </row>
    <row r="213" spans="1:5" x14ac:dyDescent="0.25">
      <c r="A213" t="s">
        <v>432</v>
      </c>
      <c r="B213">
        <v>14</v>
      </c>
      <c r="C213" t="s">
        <v>198</v>
      </c>
      <c r="D213" t="s">
        <v>1228</v>
      </c>
      <c r="E213" t="s">
        <v>1229</v>
      </c>
    </row>
    <row r="214" spans="1:5" x14ac:dyDescent="0.25">
      <c r="A214" t="s">
        <v>395</v>
      </c>
      <c r="B214">
        <v>14</v>
      </c>
      <c r="C214" t="s">
        <v>221</v>
      </c>
      <c r="D214" t="s">
        <v>1230</v>
      </c>
      <c r="E214" t="s">
        <v>1231</v>
      </c>
    </row>
    <row r="215" spans="1:5" x14ac:dyDescent="0.25">
      <c r="A215" t="s">
        <v>410</v>
      </c>
      <c r="B215">
        <v>14</v>
      </c>
      <c r="C215" t="s">
        <v>176</v>
      </c>
      <c r="D215" t="s">
        <v>1232</v>
      </c>
      <c r="E215" t="s">
        <v>1233</v>
      </c>
    </row>
    <row r="216" spans="1:5" x14ac:dyDescent="0.25">
      <c r="A216" t="s">
        <v>459</v>
      </c>
      <c r="B216">
        <v>14</v>
      </c>
      <c r="C216" t="s">
        <v>198</v>
      </c>
      <c r="D216" t="s">
        <v>1234</v>
      </c>
      <c r="E216" t="s">
        <v>1235</v>
      </c>
    </row>
    <row r="217" spans="1:5" x14ac:dyDescent="0.25">
      <c r="A217" t="s">
        <v>546</v>
      </c>
      <c r="B217">
        <v>14</v>
      </c>
      <c r="C217" t="s">
        <v>194</v>
      </c>
      <c r="D217" t="s">
        <v>1236</v>
      </c>
      <c r="E217" t="s">
        <v>1237</v>
      </c>
    </row>
    <row r="218" spans="1:5" x14ac:dyDescent="0.25">
      <c r="A218" t="s">
        <v>543</v>
      </c>
      <c r="B218">
        <v>14</v>
      </c>
      <c r="C218" t="s">
        <v>202</v>
      </c>
      <c r="D218" t="s">
        <v>1238</v>
      </c>
      <c r="E218" t="s">
        <v>1239</v>
      </c>
    </row>
    <row r="219" spans="1:5" x14ac:dyDescent="0.25">
      <c r="A219" t="s">
        <v>698</v>
      </c>
      <c r="B219">
        <v>14</v>
      </c>
      <c r="C219" t="s">
        <v>176</v>
      </c>
      <c r="D219" t="s">
        <v>1240</v>
      </c>
      <c r="E219" t="s">
        <v>1241</v>
      </c>
    </row>
    <row r="220" spans="1:5" x14ac:dyDescent="0.25">
      <c r="A220" t="s">
        <v>1242</v>
      </c>
      <c r="B220">
        <v>14</v>
      </c>
      <c r="C220" t="s">
        <v>843</v>
      </c>
      <c r="D220" t="s">
        <v>1243</v>
      </c>
      <c r="E220" t="s">
        <v>1244</v>
      </c>
    </row>
    <row r="221" spans="1:5" x14ac:dyDescent="0.25">
      <c r="A221" t="s">
        <v>1245</v>
      </c>
      <c r="B221">
        <v>14</v>
      </c>
      <c r="C221" t="s">
        <v>885</v>
      </c>
      <c r="D221" t="s">
        <v>1246</v>
      </c>
      <c r="E221" t="s">
        <v>1247</v>
      </c>
    </row>
    <row r="222" spans="1:5" x14ac:dyDescent="0.25">
      <c r="A222" t="s">
        <v>735</v>
      </c>
      <c r="B222">
        <v>14</v>
      </c>
      <c r="C222" t="s">
        <v>176</v>
      </c>
      <c r="D222" t="s">
        <v>1248</v>
      </c>
      <c r="E222" t="s">
        <v>1249</v>
      </c>
    </row>
    <row r="223" spans="1:5" x14ac:dyDescent="0.25">
      <c r="A223" t="s">
        <v>708</v>
      </c>
      <c r="B223">
        <v>14</v>
      </c>
      <c r="C223" t="s">
        <v>874</v>
      </c>
      <c r="D223" t="s">
        <v>1250</v>
      </c>
      <c r="E223" t="s">
        <v>1251</v>
      </c>
    </row>
    <row r="224" spans="1:5" x14ac:dyDescent="0.25">
      <c r="A224" t="s">
        <v>579</v>
      </c>
      <c r="B224">
        <v>14</v>
      </c>
      <c r="C224" t="s">
        <v>202</v>
      </c>
      <c r="D224" t="s">
        <v>1252</v>
      </c>
      <c r="E224" t="s">
        <v>1253</v>
      </c>
    </row>
    <row r="225" spans="1:5" x14ac:dyDescent="0.25">
      <c r="A225" t="s">
        <v>685</v>
      </c>
      <c r="B225">
        <v>14</v>
      </c>
      <c r="C225" t="s">
        <v>176</v>
      </c>
      <c r="D225" t="s">
        <v>1254</v>
      </c>
      <c r="E225" t="s">
        <v>1255</v>
      </c>
    </row>
    <row r="226" spans="1:5" x14ac:dyDescent="0.25">
      <c r="A226" t="s">
        <v>1256</v>
      </c>
      <c r="B226">
        <v>13</v>
      </c>
      <c r="C226" t="s">
        <v>202</v>
      </c>
      <c r="D226" t="s">
        <v>1257</v>
      </c>
      <c r="E226" t="s">
        <v>1258</v>
      </c>
    </row>
    <row r="227" spans="1:5" x14ac:dyDescent="0.25">
      <c r="A227" t="s">
        <v>411</v>
      </c>
      <c r="B227">
        <v>13</v>
      </c>
      <c r="C227" t="s">
        <v>198</v>
      </c>
      <c r="D227" t="s">
        <v>1259</v>
      </c>
      <c r="E227" t="s">
        <v>1260</v>
      </c>
    </row>
    <row r="228" spans="1:5" x14ac:dyDescent="0.25">
      <c r="A228" t="s">
        <v>473</v>
      </c>
      <c r="B228">
        <v>13</v>
      </c>
      <c r="C228" t="s">
        <v>885</v>
      </c>
      <c r="D228" t="s">
        <v>1261</v>
      </c>
      <c r="E228" t="s">
        <v>1262</v>
      </c>
    </row>
    <row r="229" spans="1:5" x14ac:dyDescent="0.25">
      <c r="A229" t="s">
        <v>475</v>
      </c>
      <c r="B229">
        <v>13</v>
      </c>
      <c r="C229" t="s">
        <v>176</v>
      </c>
      <c r="D229" t="s">
        <v>1263</v>
      </c>
      <c r="E229" t="s">
        <v>1264</v>
      </c>
    </row>
    <row r="230" spans="1:5" x14ac:dyDescent="0.25">
      <c r="A230" t="s">
        <v>520</v>
      </c>
      <c r="B230">
        <v>13</v>
      </c>
      <c r="C230" t="s">
        <v>176</v>
      </c>
      <c r="D230" t="s">
        <v>1265</v>
      </c>
      <c r="E230" t="s">
        <v>1266</v>
      </c>
    </row>
    <row r="231" spans="1:5" x14ac:dyDescent="0.25">
      <c r="A231" t="s">
        <v>547</v>
      </c>
      <c r="B231">
        <v>13</v>
      </c>
      <c r="C231" t="s">
        <v>198</v>
      </c>
      <c r="D231" t="s">
        <v>1267</v>
      </c>
      <c r="E231" t="s">
        <v>1268</v>
      </c>
    </row>
    <row r="232" spans="1:5" x14ac:dyDescent="0.25">
      <c r="A232" t="s">
        <v>588</v>
      </c>
      <c r="B232">
        <v>13</v>
      </c>
      <c r="C232" t="s">
        <v>198</v>
      </c>
      <c r="D232" t="s">
        <v>1269</v>
      </c>
      <c r="E232" t="s">
        <v>1270</v>
      </c>
    </row>
    <row r="233" spans="1:5" x14ac:dyDescent="0.25">
      <c r="A233" t="s">
        <v>463</v>
      </c>
      <c r="B233">
        <v>13</v>
      </c>
      <c r="C233" t="s">
        <v>189</v>
      </c>
      <c r="D233" t="s">
        <v>1271</v>
      </c>
      <c r="E233" t="s">
        <v>1272</v>
      </c>
    </row>
    <row r="234" spans="1:5" x14ac:dyDescent="0.25">
      <c r="A234" t="s">
        <v>392</v>
      </c>
      <c r="B234">
        <v>13</v>
      </c>
      <c r="C234" t="s">
        <v>194</v>
      </c>
      <c r="D234" t="s">
        <v>1273</v>
      </c>
      <c r="E234" t="s">
        <v>1274</v>
      </c>
    </row>
    <row r="235" spans="1:5" x14ac:dyDescent="0.25">
      <c r="A235" t="s">
        <v>617</v>
      </c>
      <c r="B235">
        <v>13</v>
      </c>
      <c r="C235" t="s">
        <v>194</v>
      </c>
      <c r="D235" t="s">
        <v>1275</v>
      </c>
      <c r="E235" t="s">
        <v>1276</v>
      </c>
    </row>
    <row r="236" spans="1:5" x14ac:dyDescent="0.25">
      <c r="A236" t="s">
        <v>606</v>
      </c>
      <c r="B236">
        <v>13</v>
      </c>
      <c r="C236" t="s">
        <v>194</v>
      </c>
      <c r="D236" t="s">
        <v>1277</v>
      </c>
      <c r="E236" t="s">
        <v>1278</v>
      </c>
    </row>
    <row r="237" spans="1:5" x14ac:dyDescent="0.25">
      <c r="A237" t="s">
        <v>646</v>
      </c>
      <c r="B237">
        <v>13</v>
      </c>
      <c r="C237" t="s">
        <v>176</v>
      </c>
      <c r="D237" t="s">
        <v>1279</v>
      </c>
      <c r="E237" t="s">
        <v>1280</v>
      </c>
    </row>
    <row r="238" spans="1:5" x14ac:dyDescent="0.25">
      <c r="A238" t="s">
        <v>302</v>
      </c>
      <c r="B238">
        <v>12</v>
      </c>
      <c r="C238" t="s">
        <v>198</v>
      </c>
      <c r="D238" t="s">
        <v>1281</v>
      </c>
      <c r="E238" t="s">
        <v>1282</v>
      </c>
    </row>
    <row r="239" spans="1:5" x14ac:dyDescent="0.25">
      <c r="A239" t="s">
        <v>444</v>
      </c>
      <c r="B239">
        <v>12</v>
      </c>
      <c r="C239" t="s">
        <v>202</v>
      </c>
      <c r="D239" t="s">
        <v>1283</v>
      </c>
      <c r="E239" t="s">
        <v>1284</v>
      </c>
    </row>
    <row r="240" spans="1:5" x14ac:dyDescent="0.25">
      <c r="A240" t="s">
        <v>508</v>
      </c>
      <c r="B240">
        <v>12</v>
      </c>
      <c r="C240" t="s">
        <v>189</v>
      </c>
      <c r="D240" t="s">
        <v>1285</v>
      </c>
      <c r="E240" t="s">
        <v>1286</v>
      </c>
    </row>
    <row r="241" spans="1:5" x14ac:dyDescent="0.25">
      <c r="A241" t="s">
        <v>472</v>
      </c>
      <c r="B241">
        <v>12</v>
      </c>
      <c r="C241" t="s">
        <v>189</v>
      </c>
      <c r="D241" t="s">
        <v>1287</v>
      </c>
      <c r="E241" t="s">
        <v>1288</v>
      </c>
    </row>
    <row r="242" spans="1:5" x14ac:dyDescent="0.25">
      <c r="A242" t="s">
        <v>554</v>
      </c>
      <c r="B242">
        <v>12</v>
      </c>
      <c r="C242" t="s">
        <v>885</v>
      </c>
      <c r="D242" t="s">
        <v>1289</v>
      </c>
      <c r="E242" t="s">
        <v>1290</v>
      </c>
    </row>
    <row r="243" spans="1:5" x14ac:dyDescent="0.25">
      <c r="A243" t="s">
        <v>608</v>
      </c>
      <c r="B243">
        <v>12</v>
      </c>
      <c r="C243" t="s">
        <v>885</v>
      </c>
      <c r="D243" t="s">
        <v>1291</v>
      </c>
      <c r="E243" t="s">
        <v>1292</v>
      </c>
    </row>
    <row r="244" spans="1:5" x14ac:dyDescent="0.25">
      <c r="A244" t="s">
        <v>595</v>
      </c>
      <c r="B244">
        <v>12</v>
      </c>
      <c r="C244" t="s">
        <v>176</v>
      </c>
      <c r="D244" t="s">
        <v>1293</v>
      </c>
      <c r="E244" t="s">
        <v>1294</v>
      </c>
    </row>
    <row r="245" spans="1:5" x14ac:dyDescent="0.25">
      <c r="A245" t="s">
        <v>590</v>
      </c>
      <c r="B245">
        <v>12</v>
      </c>
      <c r="C245" t="s">
        <v>874</v>
      </c>
      <c r="D245" t="s">
        <v>1295</v>
      </c>
      <c r="E245" t="s">
        <v>1296</v>
      </c>
    </row>
    <row r="246" spans="1:5" x14ac:dyDescent="0.25">
      <c r="A246" t="s">
        <v>724</v>
      </c>
      <c r="B246">
        <v>12</v>
      </c>
      <c r="C246" t="s">
        <v>885</v>
      </c>
      <c r="D246" t="s">
        <v>1297</v>
      </c>
      <c r="E246" t="s">
        <v>1298</v>
      </c>
    </row>
    <row r="247" spans="1:5" x14ac:dyDescent="0.25">
      <c r="A247" t="s">
        <v>641</v>
      </c>
      <c r="B247">
        <v>12</v>
      </c>
      <c r="C247" t="s">
        <v>194</v>
      </c>
      <c r="D247" t="s">
        <v>1299</v>
      </c>
      <c r="E247" t="s">
        <v>1300</v>
      </c>
    </row>
    <row r="248" spans="1:5" x14ac:dyDescent="0.25">
      <c r="A248" t="s">
        <v>687</v>
      </c>
      <c r="B248">
        <v>12</v>
      </c>
      <c r="C248" t="s">
        <v>176</v>
      </c>
      <c r="D248" t="s">
        <v>1301</v>
      </c>
      <c r="E248" t="s">
        <v>1302</v>
      </c>
    </row>
    <row r="249" spans="1:5" x14ac:dyDescent="0.25">
      <c r="A249" t="s">
        <v>317</v>
      </c>
      <c r="B249">
        <v>11</v>
      </c>
      <c r="C249" t="s">
        <v>198</v>
      </c>
      <c r="D249" t="s">
        <v>1303</v>
      </c>
      <c r="E249" t="s">
        <v>1304</v>
      </c>
    </row>
    <row r="250" spans="1:5" x14ac:dyDescent="0.25">
      <c r="A250" t="s">
        <v>388</v>
      </c>
      <c r="B250">
        <v>11</v>
      </c>
      <c r="C250" t="s">
        <v>176</v>
      </c>
      <c r="D250" t="s">
        <v>1305</v>
      </c>
      <c r="E250" t="s">
        <v>1306</v>
      </c>
    </row>
    <row r="251" spans="1:5" x14ac:dyDescent="0.25">
      <c r="A251" t="s">
        <v>383</v>
      </c>
      <c r="B251">
        <v>11</v>
      </c>
      <c r="C251" t="s">
        <v>198</v>
      </c>
      <c r="D251" t="s">
        <v>1307</v>
      </c>
      <c r="E251" t="s">
        <v>1308</v>
      </c>
    </row>
    <row r="252" spans="1:5" x14ac:dyDescent="0.25">
      <c r="A252" t="s">
        <v>416</v>
      </c>
      <c r="B252">
        <v>11</v>
      </c>
      <c r="C252" t="s">
        <v>189</v>
      </c>
      <c r="D252" t="s">
        <v>1309</v>
      </c>
      <c r="E252" t="s">
        <v>1310</v>
      </c>
    </row>
    <row r="253" spans="1:5" x14ac:dyDescent="0.25">
      <c r="A253" t="s">
        <v>425</v>
      </c>
      <c r="B253">
        <v>11</v>
      </c>
      <c r="C253" t="s">
        <v>198</v>
      </c>
      <c r="D253" t="s">
        <v>1311</v>
      </c>
      <c r="E253" t="s">
        <v>1312</v>
      </c>
    </row>
    <row r="254" spans="1:5" x14ac:dyDescent="0.25">
      <c r="A254" t="s">
        <v>505</v>
      </c>
      <c r="B254">
        <v>11</v>
      </c>
      <c r="C254" t="s">
        <v>221</v>
      </c>
      <c r="D254" t="s">
        <v>1313</v>
      </c>
      <c r="E254" t="s">
        <v>1314</v>
      </c>
    </row>
    <row r="255" spans="1:5" x14ac:dyDescent="0.25">
      <c r="A255" t="s">
        <v>419</v>
      </c>
      <c r="B255">
        <v>11</v>
      </c>
      <c r="C255" t="s">
        <v>176</v>
      </c>
      <c r="D255" t="s">
        <v>1315</v>
      </c>
      <c r="E255" t="s">
        <v>1316</v>
      </c>
    </row>
    <row r="256" spans="1:5" x14ac:dyDescent="0.25">
      <c r="A256" t="s">
        <v>451</v>
      </c>
      <c r="B256">
        <v>11</v>
      </c>
      <c r="C256" t="s">
        <v>186</v>
      </c>
      <c r="D256" t="s">
        <v>1317</v>
      </c>
      <c r="E256" t="s">
        <v>1318</v>
      </c>
    </row>
    <row r="257" spans="1:5" x14ac:dyDescent="0.25">
      <c r="A257" t="s">
        <v>517</v>
      </c>
      <c r="B257">
        <v>11</v>
      </c>
      <c r="C257" t="s">
        <v>189</v>
      </c>
      <c r="D257" t="s">
        <v>1319</v>
      </c>
      <c r="E257" t="s">
        <v>1320</v>
      </c>
    </row>
    <row r="258" spans="1:5" x14ac:dyDescent="0.25">
      <c r="A258" t="s">
        <v>480</v>
      </c>
      <c r="B258">
        <v>11</v>
      </c>
      <c r="C258" t="s">
        <v>885</v>
      </c>
      <c r="D258" t="s">
        <v>1321</v>
      </c>
      <c r="E258" t="s">
        <v>1322</v>
      </c>
    </row>
    <row r="259" spans="1:5" x14ac:dyDescent="0.25">
      <c r="A259" t="s">
        <v>713</v>
      </c>
      <c r="B259">
        <v>11</v>
      </c>
      <c r="C259" t="s">
        <v>176</v>
      </c>
      <c r="D259" t="s">
        <v>1323</v>
      </c>
      <c r="E259" t="s">
        <v>1324</v>
      </c>
    </row>
    <row r="260" spans="1:5" x14ac:dyDescent="0.25">
      <c r="A260" t="s">
        <v>592</v>
      </c>
      <c r="B260">
        <v>11</v>
      </c>
      <c r="C260" t="s">
        <v>198</v>
      </c>
      <c r="D260" t="s">
        <v>1325</v>
      </c>
      <c r="E260" t="s">
        <v>1326</v>
      </c>
    </row>
    <row r="261" spans="1:5" x14ac:dyDescent="0.25">
      <c r="A261" t="s">
        <v>627</v>
      </c>
      <c r="B261">
        <v>11</v>
      </c>
      <c r="C261" t="s">
        <v>874</v>
      </c>
      <c r="D261" t="s">
        <v>1327</v>
      </c>
      <c r="E261" t="s">
        <v>1328</v>
      </c>
    </row>
    <row r="262" spans="1:5" x14ac:dyDescent="0.25">
      <c r="A262" t="s">
        <v>680</v>
      </c>
      <c r="B262">
        <v>11</v>
      </c>
      <c r="C262" t="s">
        <v>198</v>
      </c>
      <c r="D262" t="s">
        <v>1329</v>
      </c>
      <c r="E262" t="s">
        <v>1330</v>
      </c>
    </row>
    <row r="263" spans="1:5" x14ac:dyDescent="0.25">
      <c r="A263" t="s">
        <v>1331</v>
      </c>
      <c r="B263">
        <v>10</v>
      </c>
      <c r="C263" t="s">
        <v>198</v>
      </c>
      <c r="D263" t="s">
        <v>1332</v>
      </c>
      <c r="E263" t="s">
        <v>1333</v>
      </c>
    </row>
    <row r="264" spans="1:5" x14ac:dyDescent="0.25">
      <c r="A264" t="s">
        <v>1334</v>
      </c>
      <c r="B264">
        <v>10</v>
      </c>
      <c r="C264" t="s">
        <v>221</v>
      </c>
      <c r="D264" t="s">
        <v>1335</v>
      </c>
      <c r="E264" t="s">
        <v>1336</v>
      </c>
    </row>
    <row r="265" spans="1:5" x14ac:dyDescent="0.25">
      <c r="A265" t="s">
        <v>1337</v>
      </c>
      <c r="B265">
        <v>10</v>
      </c>
      <c r="C265" t="s">
        <v>198</v>
      </c>
      <c r="D265" t="s">
        <v>1338</v>
      </c>
      <c r="E265" t="s">
        <v>1339</v>
      </c>
    </row>
    <row r="266" spans="1:5" x14ac:dyDescent="0.25">
      <c r="A266" t="s">
        <v>391</v>
      </c>
      <c r="B266">
        <v>10</v>
      </c>
      <c r="C266" t="s">
        <v>176</v>
      </c>
      <c r="D266" t="s">
        <v>1340</v>
      </c>
      <c r="E266" t="s">
        <v>1341</v>
      </c>
    </row>
    <row r="267" spans="1:5" x14ac:dyDescent="0.25">
      <c r="A267" t="s">
        <v>393</v>
      </c>
      <c r="B267">
        <v>10</v>
      </c>
      <c r="C267" t="s">
        <v>176</v>
      </c>
      <c r="D267" t="s">
        <v>1342</v>
      </c>
      <c r="E267" t="s">
        <v>1343</v>
      </c>
    </row>
    <row r="268" spans="1:5" x14ac:dyDescent="0.25">
      <c r="A268" t="s">
        <v>414</v>
      </c>
      <c r="B268">
        <v>10</v>
      </c>
      <c r="C268" t="s">
        <v>221</v>
      </c>
      <c r="D268" t="s">
        <v>1344</v>
      </c>
      <c r="E268" t="s">
        <v>1345</v>
      </c>
    </row>
    <row r="269" spans="1:5" x14ac:dyDescent="0.25">
      <c r="A269" t="s">
        <v>511</v>
      </c>
      <c r="B269">
        <v>10</v>
      </c>
      <c r="C269" t="s">
        <v>176</v>
      </c>
      <c r="D269" t="s">
        <v>1346</v>
      </c>
      <c r="E269" t="s">
        <v>1347</v>
      </c>
    </row>
    <row r="270" spans="1:5" x14ac:dyDescent="0.25">
      <c r="A270" t="s">
        <v>458</v>
      </c>
      <c r="B270">
        <v>10</v>
      </c>
      <c r="C270" t="s">
        <v>198</v>
      </c>
      <c r="D270" t="s">
        <v>1348</v>
      </c>
      <c r="E270" t="s">
        <v>1349</v>
      </c>
    </row>
    <row r="271" spans="1:5" x14ac:dyDescent="0.25">
      <c r="A271" t="s">
        <v>1350</v>
      </c>
      <c r="B271">
        <v>10</v>
      </c>
      <c r="C271" t="s">
        <v>198</v>
      </c>
      <c r="D271" t="s">
        <v>1351</v>
      </c>
      <c r="E271" t="s">
        <v>1352</v>
      </c>
    </row>
    <row r="272" spans="1:5" x14ac:dyDescent="0.25">
      <c r="A272" t="s">
        <v>539</v>
      </c>
      <c r="B272">
        <v>10</v>
      </c>
      <c r="C272" t="s">
        <v>186</v>
      </c>
      <c r="D272" t="s">
        <v>1353</v>
      </c>
      <c r="E272" t="s">
        <v>1354</v>
      </c>
    </row>
    <row r="273" spans="1:5" x14ac:dyDescent="0.25">
      <c r="A273" t="s">
        <v>598</v>
      </c>
      <c r="B273">
        <v>10</v>
      </c>
      <c r="C273" t="s">
        <v>186</v>
      </c>
      <c r="D273" t="s">
        <v>1355</v>
      </c>
      <c r="E273" t="s">
        <v>1356</v>
      </c>
    </row>
    <row r="274" spans="1:5" x14ac:dyDescent="0.25">
      <c r="A274" t="s">
        <v>605</v>
      </c>
      <c r="B274">
        <v>10</v>
      </c>
      <c r="C274" t="s">
        <v>176</v>
      </c>
      <c r="D274" t="s">
        <v>1357</v>
      </c>
      <c r="E274" t="s">
        <v>1358</v>
      </c>
    </row>
    <row r="275" spans="1:5" x14ac:dyDescent="0.25">
      <c r="A275" t="s">
        <v>492</v>
      </c>
      <c r="B275">
        <v>10</v>
      </c>
      <c r="C275" t="s">
        <v>176</v>
      </c>
      <c r="D275" t="s">
        <v>1359</v>
      </c>
      <c r="E275" t="s">
        <v>1360</v>
      </c>
    </row>
    <row r="276" spans="1:5" x14ac:dyDescent="0.25">
      <c r="A276" t="s">
        <v>614</v>
      </c>
      <c r="B276">
        <v>10</v>
      </c>
      <c r="C276" t="s">
        <v>186</v>
      </c>
      <c r="D276" t="s">
        <v>1361</v>
      </c>
      <c r="E276" t="s">
        <v>1362</v>
      </c>
    </row>
    <row r="277" spans="1:5" x14ac:dyDescent="0.25">
      <c r="A277" t="s">
        <v>611</v>
      </c>
      <c r="B277">
        <v>10</v>
      </c>
      <c r="C277" t="s">
        <v>198</v>
      </c>
      <c r="D277" t="s">
        <v>1363</v>
      </c>
      <c r="E277" t="s">
        <v>1364</v>
      </c>
    </row>
    <row r="278" spans="1:5" x14ac:dyDescent="0.25">
      <c r="A278" t="s">
        <v>729</v>
      </c>
      <c r="B278">
        <v>10</v>
      </c>
      <c r="C278" t="s">
        <v>221</v>
      </c>
      <c r="D278" t="s">
        <v>1365</v>
      </c>
      <c r="E278" t="s">
        <v>1366</v>
      </c>
    </row>
    <row r="279" spans="1:5" x14ac:dyDescent="0.25">
      <c r="A279" t="s">
        <v>623</v>
      </c>
      <c r="B279">
        <v>10</v>
      </c>
      <c r="C279" t="s">
        <v>198</v>
      </c>
      <c r="D279" t="s">
        <v>1367</v>
      </c>
      <c r="E279" t="s">
        <v>1368</v>
      </c>
    </row>
    <row r="280" spans="1:5" x14ac:dyDescent="0.25">
      <c r="A280" t="s">
        <v>607</v>
      </c>
      <c r="B280">
        <v>10</v>
      </c>
      <c r="C280" t="s">
        <v>176</v>
      </c>
      <c r="D280" t="s">
        <v>1369</v>
      </c>
      <c r="E280" t="s">
        <v>1370</v>
      </c>
    </row>
    <row r="281" spans="1:5" x14ac:dyDescent="0.25">
      <c r="A281" t="s">
        <v>620</v>
      </c>
      <c r="B281">
        <v>10</v>
      </c>
      <c r="C281" t="s">
        <v>189</v>
      </c>
      <c r="D281" t="s">
        <v>1371</v>
      </c>
      <c r="E281" t="s">
        <v>1372</v>
      </c>
    </row>
    <row r="282" spans="1:5" x14ac:dyDescent="0.25">
      <c r="A282" t="s">
        <v>584</v>
      </c>
      <c r="B282">
        <v>10</v>
      </c>
      <c r="C282" t="s">
        <v>885</v>
      </c>
      <c r="D282" t="s">
        <v>1373</v>
      </c>
      <c r="E282" t="s">
        <v>1374</v>
      </c>
    </row>
    <row r="283" spans="1:5" x14ac:dyDescent="0.25">
      <c r="A283" t="s">
        <v>689</v>
      </c>
      <c r="B283">
        <v>10</v>
      </c>
      <c r="C283" t="s">
        <v>221</v>
      </c>
      <c r="D283" t="s">
        <v>1375</v>
      </c>
      <c r="E283" t="s">
        <v>1376</v>
      </c>
    </row>
    <row r="284" spans="1:5" x14ac:dyDescent="0.25">
      <c r="A284" t="s">
        <v>1377</v>
      </c>
      <c r="B284">
        <v>9</v>
      </c>
      <c r="C284" t="s">
        <v>198</v>
      </c>
      <c r="D284" t="s">
        <v>1378</v>
      </c>
      <c r="E284" t="s">
        <v>1379</v>
      </c>
    </row>
    <row r="285" spans="1:5" x14ac:dyDescent="0.25">
      <c r="A285" t="s">
        <v>342</v>
      </c>
      <c r="B285">
        <v>9</v>
      </c>
      <c r="C285" t="s">
        <v>198</v>
      </c>
      <c r="D285" t="s">
        <v>1380</v>
      </c>
      <c r="E285" t="s">
        <v>1381</v>
      </c>
    </row>
    <row r="286" spans="1:5" x14ac:dyDescent="0.25">
      <c r="A286" t="s">
        <v>1382</v>
      </c>
      <c r="B286">
        <v>9</v>
      </c>
      <c r="C286" t="s">
        <v>198</v>
      </c>
      <c r="D286" t="s">
        <v>1383</v>
      </c>
      <c r="E286" t="s">
        <v>1384</v>
      </c>
    </row>
    <row r="287" spans="1:5" x14ac:dyDescent="0.25">
      <c r="A287" t="s">
        <v>485</v>
      </c>
      <c r="B287">
        <v>9</v>
      </c>
      <c r="C287" t="s">
        <v>186</v>
      </c>
      <c r="D287" t="s">
        <v>1385</v>
      </c>
      <c r="E287" t="s">
        <v>1386</v>
      </c>
    </row>
    <row r="288" spans="1:5" x14ac:dyDescent="0.25">
      <c r="A288" t="s">
        <v>373</v>
      </c>
      <c r="B288">
        <v>9</v>
      </c>
      <c r="C288" t="s">
        <v>186</v>
      </c>
      <c r="D288" t="s">
        <v>1387</v>
      </c>
      <c r="E288" t="s">
        <v>1388</v>
      </c>
    </row>
    <row r="289" spans="1:5" x14ac:dyDescent="0.25">
      <c r="A289" t="s">
        <v>553</v>
      </c>
      <c r="B289">
        <v>9</v>
      </c>
      <c r="C289" t="s">
        <v>186</v>
      </c>
      <c r="D289" t="s">
        <v>1389</v>
      </c>
      <c r="E289" t="s">
        <v>1390</v>
      </c>
    </row>
    <row r="290" spans="1:5" x14ac:dyDescent="0.25">
      <c r="A290" t="s">
        <v>1391</v>
      </c>
      <c r="B290">
        <v>9</v>
      </c>
      <c r="C290" t="s">
        <v>176</v>
      </c>
      <c r="D290" t="s">
        <v>1392</v>
      </c>
      <c r="E290" t="s">
        <v>1393</v>
      </c>
    </row>
    <row r="291" spans="1:5" x14ac:dyDescent="0.25">
      <c r="A291" t="s">
        <v>494</v>
      </c>
      <c r="B291">
        <v>9</v>
      </c>
      <c r="C291" t="s">
        <v>189</v>
      </c>
      <c r="D291" t="s">
        <v>1394</v>
      </c>
      <c r="E291" t="s">
        <v>1395</v>
      </c>
    </row>
    <row r="292" spans="1:5" x14ac:dyDescent="0.25">
      <c r="A292" t="s">
        <v>733</v>
      </c>
      <c r="B292">
        <v>9</v>
      </c>
      <c r="C292" t="s">
        <v>176</v>
      </c>
      <c r="D292" t="s">
        <v>1396</v>
      </c>
      <c r="E292" t="s">
        <v>1397</v>
      </c>
    </row>
    <row r="293" spans="1:5" x14ac:dyDescent="0.25">
      <c r="A293" t="s">
        <v>710</v>
      </c>
      <c r="B293">
        <v>9</v>
      </c>
      <c r="C293" t="s">
        <v>176</v>
      </c>
      <c r="D293" t="s">
        <v>1398</v>
      </c>
      <c r="E293" t="s">
        <v>1399</v>
      </c>
    </row>
    <row r="294" spans="1:5" x14ac:dyDescent="0.25">
      <c r="A294" t="s">
        <v>583</v>
      </c>
      <c r="B294">
        <v>9</v>
      </c>
      <c r="C294" t="s">
        <v>198</v>
      </c>
      <c r="D294" t="s">
        <v>1400</v>
      </c>
      <c r="E294" t="s">
        <v>1401</v>
      </c>
    </row>
    <row r="295" spans="1:5" x14ac:dyDescent="0.25">
      <c r="A295" t="s">
        <v>730</v>
      </c>
      <c r="B295">
        <v>9</v>
      </c>
      <c r="C295" t="s">
        <v>198</v>
      </c>
      <c r="D295" t="s">
        <v>1402</v>
      </c>
      <c r="E295" t="s">
        <v>1403</v>
      </c>
    </row>
    <row r="296" spans="1:5" x14ac:dyDescent="0.25">
      <c r="A296" t="s">
        <v>695</v>
      </c>
      <c r="B296">
        <v>9</v>
      </c>
      <c r="C296" t="s">
        <v>186</v>
      </c>
      <c r="D296" t="s">
        <v>1404</v>
      </c>
      <c r="E296" t="s">
        <v>1405</v>
      </c>
    </row>
    <row r="297" spans="1:5" x14ac:dyDescent="0.25">
      <c r="A297" t="s">
        <v>679</v>
      </c>
      <c r="B297">
        <v>9</v>
      </c>
      <c r="C297" t="s">
        <v>221</v>
      </c>
      <c r="D297" t="s">
        <v>1406</v>
      </c>
      <c r="E297" t="s">
        <v>1407</v>
      </c>
    </row>
    <row r="298" spans="1:5" x14ac:dyDescent="0.25">
      <c r="A298" t="s">
        <v>1408</v>
      </c>
      <c r="B298">
        <v>8</v>
      </c>
      <c r="C298" t="s">
        <v>186</v>
      </c>
      <c r="D298" t="s">
        <v>1409</v>
      </c>
      <c r="E298" t="s">
        <v>1410</v>
      </c>
    </row>
    <row r="299" spans="1:5" x14ac:dyDescent="0.25">
      <c r="A299" t="s">
        <v>389</v>
      </c>
      <c r="B299">
        <v>8</v>
      </c>
      <c r="C299" t="s">
        <v>186</v>
      </c>
      <c r="D299" t="s">
        <v>1411</v>
      </c>
      <c r="E299" t="s">
        <v>1412</v>
      </c>
    </row>
    <row r="300" spans="1:5" x14ac:dyDescent="0.25">
      <c r="A300" t="s">
        <v>353</v>
      </c>
      <c r="B300">
        <v>8</v>
      </c>
      <c r="C300" t="s">
        <v>198</v>
      </c>
      <c r="D300" t="s">
        <v>1413</v>
      </c>
      <c r="E300" t="s">
        <v>1414</v>
      </c>
    </row>
    <row r="301" spans="1:5" x14ac:dyDescent="0.25">
      <c r="A301" t="s">
        <v>384</v>
      </c>
      <c r="B301">
        <v>8</v>
      </c>
      <c r="C301" t="s">
        <v>198</v>
      </c>
      <c r="D301" t="s">
        <v>1415</v>
      </c>
      <c r="E301" t="s">
        <v>1416</v>
      </c>
    </row>
    <row r="302" spans="1:5" x14ac:dyDescent="0.25">
      <c r="A302" t="s">
        <v>382</v>
      </c>
      <c r="B302">
        <v>8</v>
      </c>
      <c r="C302" t="s">
        <v>176</v>
      </c>
      <c r="D302" t="s">
        <v>1417</v>
      </c>
      <c r="E302" t="s">
        <v>1418</v>
      </c>
    </row>
    <row r="303" spans="1:5" x14ac:dyDescent="0.25">
      <c r="A303" t="s">
        <v>618</v>
      </c>
      <c r="B303">
        <v>8</v>
      </c>
      <c r="C303" t="s">
        <v>176</v>
      </c>
      <c r="D303" t="s">
        <v>1419</v>
      </c>
      <c r="E303" t="s">
        <v>1420</v>
      </c>
    </row>
    <row r="304" spans="1:5" x14ac:dyDescent="0.25">
      <c r="A304" t="s">
        <v>587</v>
      </c>
      <c r="B304">
        <v>8</v>
      </c>
      <c r="C304" t="s">
        <v>198</v>
      </c>
      <c r="D304" t="s">
        <v>1421</v>
      </c>
      <c r="E304" t="s">
        <v>1422</v>
      </c>
    </row>
    <row r="305" spans="1:5" x14ac:dyDescent="0.25">
      <c r="A305" t="s">
        <v>591</v>
      </c>
      <c r="B305">
        <v>8</v>
      </c>
      <c r="C305" t="s">
        <v>176</v>
      </c>
      <c r="D305" t="s">
        <v>1423</v>
      </c>
      <c r="E305" t="s">
        <v>1424</v>
      </c>
    </row>
    <row r="306" spans="1:5" x14ac:dyDescent="0.25">
      <c r="A306" t="s">
        <v>732</v>
      </c>
      <c r="B306">
        <v>8</v>
      </c>
      <c r="C306" t="s">
        <v>186</v>
      </c>
      <c r="D306" t="s">
        <v>1425</v>
      </c>
      <c r="E306" t="s">
        <v>1426</v>
      </c>
    </row>
    <row r="307" spans="1:5" x14ac:dyDescent="0.25">
      <c r="A307" t="s">
        <v>639</v>
      </c>
      <c r="B307">
        <v>8</v>
      </c>
      <c r="C307" t="s">
        <v>186</v>
      </c>
      <c r="D307" t="s">
        <v>1427</v>
      </c>
      <c r="E307" t="s">
        <v>1428</v>
      </c>
    </row>
    <row r="308" spans="1:5" x14ac:dyDescent="0.25">
      <c r="A308" t="s">
        <v>693</v>
      </c>
      <c r="B308">
        <v>8</v>
      </c>
      <c r="C308" t="s">
        <v>186</v>
      </c>
      <c r="D308" t="s">
        <v>1429</v>
      </c>
      <c r="E308" t="s">
        <v>1430</v>
      </c>
    </row>
    <row r="309" spans="1:5" x14ac:dyDescent="0.25">
      <c r="A309" t="s">
        <v>738</v>
      </c>
      <c r="B309">
        <v>8</v>
      </c>
      <c r="C309" t="s">
        <v>189</v>
      </c>
      <c r="D309" t="s">
        <v>1431</v>
      </c>
      <c r="E309" t="s">
        <v>1432</v>
      </c>
    </row>
    <row r="310" spans="1:5" x14ac:dyDescent="0.25">
      <c r="A310" t="s">
        <v>741</v>
      </c>
      <c r="B310">
        <v>8</v>
      </c>
      <c r="C310" t="s">
        <v>202</v>
      </c>
      <c r="D310" t="s">
        <v>1433</v>
      </c>
      <c r="E310" t="s">
        <v>1434</v>
      </c>
    </row>
    <row r="311" spans="1:5" x14ac:dyDescent="0.25">
      <c r="A311" t="s">
        <v>688</v>
      </c>
      <c r="B311">
        <v>8</v>
      </c>
      <c r="C311" t="s">
        <v>186</v>
      </c>
      <c r="D311" t="s">
        <v>1435</v>
      </c>
      <c r="E311" t="s">
        <v>1436</v>
      </c>
    </row>
    <row r="312" spans="1:5" x14ac:dyDescent="0.25">
      <c r="A312" t="s">
        <v>692</v>
      </c>
      <c r="B312">
        <v>8</v>
      </c>
      <c r="C312" t="s">
        <v>221</v>
      </c>
      <c r="D312" t="s">
        <v>1437</v>
      </c>
      <c r="E312" t="s">
        <v>1438</v>
      </c>
    </row>
    <row r="313" spans="1:5" x14ac:dyDescent="0.25">
      <c r="A313" t="s">
        <v>753</v>
      </c>
      <c r="B313">
        <v>8</v>
      </c>
      <c r="C313" t="s">
        <v>186</v>
      </c>
      <c r="D313" t="s">
        <v>1439</v>
      </c>
      <c r="E313" t="s">
        <v>1440</v>
      </c>
    </row>
    <row r="314" spans="1:5" x14ac:dyDescent="0.25">
      <c r="A314" t="s">
        <v>1441</v>
      </c>
      <c r="B314">
        <v>7</v>
      </c>
      <c r="C314" t="s">
        <v>198</v>
      </c>
      <c r="D314" t="s">
        <v>1442</v>
      </c>
      <c r="E314" t="s">
        <v>1443</v>
      </c>
    </row>
    <row r="315" spans="1:5" x14ac:dyDescent="0.25">
      <c r="A315" t="s">
        <v>1444</v>
      </c>
      <c r="B315">
        <v>7</v>
      </c>
      <c r="C315" t="s">
        <v>198</v>
      </c>
      <c r="D315" t="s">
        <v>1445</v>
      </c>
      <c r="E315" t="s">
        <v>1446</v>
      </c>
    </row>
    <row r="316" spans="1:5" x14ac:dyDescent="0.25">
      <c r="A316" t="s">
        <v>1447</v>
      </c>
      <c r="B316">
        <v>7</v>
      </c>
      <c r="C316" t="s">
        <v>198</v>
      </c>
      <c r="D316" t="s">
        <v>1448</v>
      </c>
      <c r="E316" t="s">
        <v>1449</v>
      </c>
    </row>
    <row r="317" spans="1:5" x14ac:dyDescent="0.25">
      <c r="A317" t="s">
        <v>386</v>
      </c>
      <c r="B317">
        <v>7</v>
      </c>
      <c r="C317" t="s">
        <v>198</v>
      </c>
      <c r="D317" t="s">
        <v>1450</v>
      </c>
      <c r="E317" t="s">
        <v>1451</v>
      </c>
    </row>
    <row r="318" spans="1:5" x14ac:dyDescent="0.25">
      <c r="A318" t="s">
        <v>380</v>
      </c>
      <c r="B318">
        <v>7</v>
      </c>
      <c r="C318" t="s">
        <v>198</v>
      </c>
      <c r="D318" t="s">
        <v>1452</v>
      </c>
      <c r="E318" t="s">
        <v>1453</v>
      </c>
    </row>
    <row r="319" spans="1:5" x14ac:dyDescent="0.25">
      <c r="A319" t="s">
        <v>491</v>
      </c>
      <c r="B319">
        <v>7</v>
      </c>
      <c r="C319" t="s">
        <v>176</v>
      </c>
      <c r="D319" t="s">
        <v>1454</v>
      </c>
      <c r="E319" t="s">
        <v>1455</v>
      </c>
    </row>
    <row r="320" spans="1:5" x14ac:dyDescent="0.25">
      <c r="A320" t="s">
        <v>552</v>
      </c>
      <c r="B320">
        <v>7</v>
      </c>
      <c r="C320" t="s">
        <v>198</v>
      </c>
      <c r="D320" t="s">
        <v>1456</v>
      </c>
      <c r="E320" t="s">
        <v>1457</v>
      </c>
    </row>
    <row r="321" spans="1:5" x14ac:dyDescent="0.25">
      <c r="A321" t="s">
        <v>597</v>
      </c>
      <c r="B321">
        <v>7</v>
      </c>
      <c r="C321" t="s">
        <v>221</v>
      </c>
      <c r="D321" t="s">
        <v>1458</v>
      </c>
      <c r="E321" t="s">
        <v>1459</v>
      </c>
    </row>
    <row r="322" spans="1:5" x14ac:dyDescent="0.25">
      <c r="A322" t="s">
        <v>542</v>
      </c>
      <c r="B322">
        <v>7</v>
      </c>
      <c r="C322" t="s">
        <v>176</v>
      </c>
      <c r="D322" t="s">
        <v>1460</v>
      </c>
      <c r="E322" t="s">
        <v>1461</v>
      </c>
    </row>
    <row r="323" spans="1:5" x14ac:dyDescent="0.25">
      <c r="A323" t="s">
        <v>613</v>
      </c>
      <c r="B323">
        <v>7</v>
      </c>
      <c r="C323" t="s">
        <v>186</v>
      </c>
      <c r="D323" t="s">
        <v>1462</v>
      </c>
      <c r="E323" t="s">
        <v>1463</v>
      </c>
    </row>
    <row r="324" spans="1:5" x14ac:dyDescent="0.25">
      <c r="A324" t="s">
        <v>628</v>
      </c>
      <c r="B324">
        <v>7</v>
      </c>
      <c r="C324" t="s">
        <v>221</v>
      </c>
      <c r="D324" t="s">
        <v>1464</v>
      </c>
      <c r="E324" t="s">
        <v>1465</v>
      </c>
    </row>
    <row r="325" spans="1:5" x14ac:dyDescent="0.25">
      <c r="A325" t="s">
        <v>624</v>
      </c>
      <c r="B325">
        <v>7</v>
      </c>
      <c r="C325" t="s">
        <v>189</v>
      </c>
      <c r="D325" t="s">
        <v>1466</v>
      </c>
      <c r="E325" t="s">
        <v>1467</v>
      </c>
    </row>
    <row r="326" spans="1:5" x14ac:dyDescent="0.25">
      <c r="A326" t="s">
        <v>1468</v>
      </c>
      <c r="B326">
        <v>7</v>
      </c>
      <c r="C326" t="s">
        <v>198</v>
      </c>
      <c r="D326" t="s">
        <v>1469</v>
      </c>
      <c r="E326" t="s">
        <v>1470</v>
      </c>
    </row>
    <row r="327" spans="1:5" x14ac:dyDescent="0.25">
      <c r="A327" t="s">
        <v>745</v>
      </c>
      <c r="B327">
        <v>7</v>
      </c>
      <c r="C327" t="s">
        <v>186</v>
      </c>
      <c r="D327" t="s">
        <v>1471</v>
      </c>
      <c r="E327" t="s">
        <v>1472</v>
      </c>
    </row>
    <row r="328" spans="1:5" x14ac:dyDescent="0.25">
      <c r="A328" t="s">
        <v>1473</v>
      </c>
      <c r="B328">
        <v>6</v>
      </c>
      <c r="C328" t="s">
        <v>198</v>
      </c>
      <c r="D328" t="s">
        <v>1474</v>
      </c>
      <c r="E328" t="s">
        <v>1475</v>
      </c>
    </row>
    <row r="329" spans="1:5" x14ac:dyDescent="0.25">
      <c r="A329" t="s">
        <v>337</v>
      </c>
      <c r="B329">
        <v>6</v>
      </c>
      <c r="C329" t="s">
        <v>186</v>
      </c>
      <c r="D329" t="s">
        <v>1476</v>
      </c>
      <c r="E329" t="s">
        <v>1477</v>
      </c>
    </row>
    <row r="330" spans="1:5" x14ac:dyDescent="0.25">
      <c r="A330" t="s">
        <v>1478</v>
      </c>
      <c r="B330">
        <v>6</v>
      </c>
      <c r="C330" t="s">
        <v>198</v>
      </c>
      <c r="D330" t="s">
        <v>1479</v>
      </c>
      <c r="E330" t="s">
        <v>1480</v>
      </c>
    </row>
    <row r="331" spans="1:5" x14ac:dyDescent="0.25">
      <c r="A331" t="s">
        <v>1481</v>
      </c>
      <c r="B331">
        <v>6</v>
      </c>
      <c r="C331" t="s">
        <v>186</v>
      </c>
      <c r="D331" t="s">
        <v>1482</v>
      </c>
      <c r="E331" t="s">
        <v>1483</v>
      </c>
    </row>
    <row r="332" spans="1:5" x14ac:dyDescent="0.25">
      <c r="A332" t="s">
        <v>1484</v>
      </c>
      <c r="B332">
        <v>6</v>
      </c>
      <c r="C332" t="s">
        <v>186</v>
      </c>
      <c r="D332" t="s">
        <v>1485</v>
      </c>
      <c r="E332" t="s">
        <v>1486</v>
      </c>
    </row>
    <row r="333" spans="1:5" x14ac:dyDescent="0.25">
      <c r="A333" t="s">
        <v>1487</v>
      </c>
      <c r="B333">
        <v>6</v>
      </c>
      <c r="C333" t="s">
        <v>186</v>
      </c>
      <c r="D333" t="s">
        <v>1488</v>
      </c>
      <c r="E333" t="s">
        <v>1489</v>
      </c>
    </row>
    <row r="334" spans="1:5" x14ac:dyDescent="0.25">
      <c r="A334" t="s">
        <v>1490</v>
      </c>
      <c r="B334">
        <v>6</v>
      </c>
      <c r="C334" t="s">
        <v>198</v>
      </c>
      <c r="D334" t="s">
        <v>1491</v>
      </c>
      <c r="E334" t="s">
        <v>1492</v>
      </c>
    </row>
    <row r="335" spans="1:5" x14ac:dyDescent="0.25">
      <c r="A335" t="s">
        <v>364</v>
      </c>
      <c r="B335">
        <v>6</v>
      </c>
      <c r="C335" t="s">
        <v>198</v>
      </c>
      <c r="D335" t="s">
        <v>1493</v>
      </c>
      <c r="E335" t="s">
        <v>1494</v>
      </c>
    </row>
    <row r="336" spans="1:5" x14ac:dyDescent="0.25">
      <c r="A336" t="s">
        <v>402</v>
      </c>
      <c r="B336">
        <v>6</v>
      </c>
      <c r="C336" t="s">
        <v>176</v>
      </c>
      <c r="D336" t="s">
        <v>1495</v>
      </c>
      <c r="E336" t="s">
        <v>1496</v>
      </c>
    </row>
    <row r="337" spans="1:5" x14ac:dyDescent="0.25">
      <c r="A337" t="s">
        <v>462</v>
      </c>
      <c r="B337">
        <v>6</v>
      </c>
      <c r="C337" t="s">
        <v>198</v>
      </c>
      <c r="D337" t="s">
        <v>1497</v>
      </c>
      <c r="E337" t="s">
        <v>1498</v>
      </c>
    </row>
    <row r="338" spans="1:5" x14ac:dyDescent="0.25">
      <c r="A338" t="s">
        <v>495</v>
      </c>
      <c r="B338">
        <v>6</v>
      </c>
      <c r="C338" t="s">
        <v>202</v>
      </c>
      <c r="D338" t="s">
        <v>1499</v>
      </c>
      <c r="E338" t="s">
        <v>1500</v>
      </c>
    </row>
    <row r="339" spans="1:5" x14ac:dyDescent="0.25">
      <c r="A339" t="s">
        <v>549</v>
      </c>
      <c r="B339">
        <v>6</v>
      </c>
      <c r="C339" t="s">
        <v>198</v>
      </c>
      <c r="D339" t="s">
        <v>1501</v>
      </c>
      <c r="E339" t="s">
        <v>1502</v>
      </c>
    </row>
    <row r="340" spans="1:5" x14ac:dyDescent="0.25">
      <c r="A340" t="s">
        <v>541</v>
      </c>
      <c r="B340">
        <v>6</v>
      </c>
      <c r="C340" t="s">
        <v>198</v>
      </c>
      <c r="D340" t="s">
        <v>1503</v>
      </c>
      <c r="E340" t="s">
        <v>1504</v>
      </c>
    </row>
    <row r="341" spans="1:5" x14ac:dyDescent="0.25">
      <c r="A341" t="s">
        <v>1505</v>
      </c>
      <c r="B341">
        <v>6</v>
      </c>
      <c r="C341" t="s">
        <v>186</v>
      </c>
      <c r="D341" t="s">
        <v>1506</v>
      </c>
      <c r="E341" t="s">
        <v>1507</v>
      </c>
    </row>
    <row r="342" spans="1:5" x14ac:dyDescent="0.25">
      <c r="A342" t="s">
        <v>593</v>
      </c>
      <c r="B342">
        <v>6</v>
      </c>
      <c r="C342" t="s">
        <v>198</v>
      </c>
      <c r="D342" t="s">
        <v>1508</v>
      </c>
      <c r="E342" t="s">
        <v>1509</v>
      </c>
    </row>
    <row r="343" spans="1:5" x14ac:dyDescent="0.25">
      <c r="A343" t="s">
        <v>526</v>
      </c>
      <c r="B343">
        <v>6</v>
      </c>
      <c r="C343" t="s">
        <v>198</v>
      </c>
      <c r="D343" t="s">
        <v>1510</v>
      </c>
      <c r="E343" t="s">
        <v>1511</v>
      </c>
    </row>
    <row r="344" spans="1:5" x14ac:dyDescent="0.25">
      <c r="A344" t="s">
        <v>1512</v>
      </c>
      <c r="B344">
        <v>6</v>
      </c>
      <c r="C344" t="s">
        <v>186</v>
      </c>
      <c r="D344" t="s">
        <v>1513</v>
      </c>
      <c r="E344" t="s">
        <v>1514</v>
      </c>
    </row>
    <row r="345" spans="1:5" x14ac:dyDescent="0.25">
      <c r="A345" t="s">
        <v>662</v>
      </c>
      <c r="B345">
        <v>6</v>
      </c>
      <c r="C345" t="s">
        <v>221</v>
      </c>
      <c r="D345" t="s">
        <v>1515</v>
      </c>
      <c r="E345" t="s">
        <v>1516</v>
      </c>
    </row>
    <row r="346" spans="1:5" x14ac:dyDescent="0.25">
      <c r="A346" t="s">
        <v>659</v>
      </c>
      <c r="B346">
        <v>6</v>
      </c>
      <c r="C346" t="s">
        <v>186</v>
      </c>
      <c r="D346" t="s">
        <v>1517</v>
      </c>
      <c r="E346" t="s">
        <v>1518</v>
      </c>
    </row>
    <row r="347" spans="1:5" x14ac:dyDescent="0.25">
      <c r="A347" t="s">
        <v>661</v>
      </c>
      <c r="B347">
        <v>6</v>
      </c>
      <c r="C347" t="s">
        <v>186</v>
      </c>
      <c r="D347" t="s">
        <v>1519</v>
      </c>
      <c r="E347" t="s">
        <v>1520</v>
      </c>
    </row>
    <row r="348" spans="1:5" x14ac:dyDescent="0.25">
      <c r="A348" t="s">
        <v>681</v>
      </c>
      <c r="B348">
        <v>6</v>
      </c>
      <c r="C348" t="s">
        <v>221</v>
      </c>
      <c r="D348" t="s">
        <v>1521</v>
      </c>
      <c r="E348" t="s">
        <v>1522</v>
      </c>
    </row>
    <row r="349" spans="1:5" x14ac:dyDescent="0.25">
      <c r="A349" t="s">
        <v>737</v>
      </c>
      <c r="B349">
        <v>6</v>
      </c>
      <c r="C349" t="s">
        <v>221</v>
      </c>
      <c r="D349" t="s">
        <v>1523</v>
      </c>
      <c r="E349" t="s">
        <v>1524</v>
      </c>
    </row>
    <row r="350" spans="1:5" x14ac:dyDescent="0.25">
      <c r="A350" t="s">
        <v>751</v>
      </c>
      <c r="B350">
        <v>6</v>
      </c>
      <c r="C350" t="s">
        <v>186</v>
      </c>
      <c r="D350" t="s">
        <v>1525</v>
      </c>
      <c r="E350" t="s">
        <v>1526</v>
      </c>
    </row>
    <row r="351" spans="1:5" x14ac:dyDescent="0.25">
      <c r="A351" t="s">
        <v>739</v>
      </c>
      <c r="B351">
        <v>6</v>
      </c>
      <c r="C351" t="s">
        <v>198</v>
      </c>
      <c r="D351" t="s">
        <v>1527</v>
      </c>
      <c r="E351" t="s">
        <v>1528</v>
      </c>
    </row>
    <row r="352" spans="1:5" x14ac:dyDescent="0.25">
      <c r="A352" t="s">
        <v>1529</v>
      </c>
      <c r="B352">
        <v>5</v>
      </c>
      <c r="C352" t="s">
        <v>198</v>
      </c>
      <c r="D352" t="s">
        <v>1530</v>
      </c>
      <c r="E352" t="s">
        <v>1531</v>
      </c>
    </row>
    <row r="353" spans="1:5" x14ac:dyDescent="0.25">
      <c r="A353" t="s">
        <v>1532</v>
      </c>
      <c r="B353">
        <v>5</v>
      </c>
      <c r="C353" t="s">
        <v>198</v>
      </c>
      <c r="D353" t="s">
        <v>1533</v>
      </c>
      <c r="E353" t="s">
        <v>1534</v>
      </c>
    </row>
    <row r="354" spans="1:5" x14ac:dyDescent="0.25">
      <c r="A354" t="s">
        <v>1535</v>
      </c>
      <c r="B354">
        <v>5</v>
      </c>
      <c r="C354" t="s">
        <v>198</v>
      </c>
      <c r="D354" t="s">
        <v>1536</v>
      </c>
      <c r="E354" t="s">
        <v>1537</v>
      </c>
    </row>
    <row r="355" spans="1:5" x14ac:dyDescent="0.25">
      <c r="A355" t="s">
        <v>1538</v>
      </c>
      <c r="B355">
        <v>5</v>
      </c>
      <c r="C355" t="s">
        <v>198</v>
      </c>
      <c r="D355" t="s">
        <v>1539</v>
      </c>
      <c r="E355" t="s">
        <v>1540</v>
      </c>
    </row>
    <row r="356" spans="1:5" x14ac:dyDescent="0.25">
      <c r="A356" t="s">
        <v>328</v>
      </c>
      <c r="B356">
        <v>5</v>
      </c>
      <c r="C356" t="s">
        <v>186</v>
      </c>
      <c r="D356" t="s">
        <v>1541</v>
      </c>
      <c r="E356" t="s">
        <v>1542</v>
      </c>
    </row>
    <row r="357" spans="1:5" x14ac:dyDescent="0.25">
      <c r="A357" t="s">
        <v>1543</v>
      </c>
      <c r="B357">
        <v>5</v>
      </c>
      <c r="C357" t="s">
        <v>198</v>
      </c>
      <c r="D357" t="s">
        <v>1544</v>
      </c>
      <c r="E357" t="s">
        <v>1545</v>
      </c>
    </row>
    <row r="358" spans="1:5" x14ac:dyDescent="0.25">
      <c r="A358" t="s">
        <v>339</v>
      </c>
      <c r="B358">
        <v>5</v>
      </c>
      <c r="C358" t="s">
        <v>198</v>
      </c>
      <c r="D358" t="s">
        <v>1546</v>
      </c>
      <c r="E358" t="s">
        <v>1547</v>
      </c>
    </row>
    <row r="359" spans="1:5" x14ac:dyDescent="0.25">
      <c r="A359" t="s">
        <v>1548</v>
      </c>
      <c r="B359">
        <v>5</v>
      </c>
      <c r="C359" t="s">
        <v>198</v>
      </c>
      <c r="D359" t="s">
        <v>1549</v>
      </c>
      <c r="E359" t="s">
        <v>1550</v>
      </c>
    </row>
    <row r="360" spans="1:5" x14ac:dyDescent="0.25">
      <c r="A360" t="s">
        <v>1551</v>
      </c>
      <c r="B360">
        <v>5</v>
      </c>
      <c r="C360" t="s">
        <v>186</v>
      </c>
      <c r="D360" t="s">
        <v>1552</v>
      </c>
      <c r="E360" t="s">
        <v>1553</v>
      </c>
    </row>
    <row r="361" spans="1:5" x14ac:dyDescent="0.25">
      <c r="A361" t="s">
        <v>1554</v>
      </c>
      <c r="B361">
        <v>5</v>
      </c>
      <c r="C361" t="s">
        <v>221</v>
      </c>
      <c r="D361" t="s">
        <v>1555</v>
      </c>
      <c r="E361" t="s">
        <v>1556</v>
      </c>
    </row>
    <row r="362" spans="1:5" x14ac:dyDescent="0.25">
      <c r="A362" t="s">
        <v>500</v>
      </c>
      <c r="B362">
        <v>5</v>
      </c>
      <c r="C362" t="s">
        <v>198</v>
      </c>
      <c r="D362" t="s">
        <v>1557</v>
      </c>
      <c r="E362" t="s">
        <v>1558</v>
      </c>
    </row>
    <row r="363" spans="1:5" x14ac:dyDescent="0.25">
      <c r="A363" t="s">
        <v>540</v>
      </c>
      <c r="B363">
        <v>5</v>
      </c>
      <c r="C363" t="s">
        <v>198</v>
      </c>
      <c r="D363" t="s">
        <v>1559</v>
      </c>
      <c r="E363" t="s">
        <v>1560</v>
      </c>
    </row>
    <row r="364" spans="1:5" x14ac:dyDescent="0.25">
      <c r="A364" t="s">
        <v>457</v>
      </c>
      <c r="B364">
        <v>5</v>
      </c>
      <c r="C364" t="s">
        <v>198</v>
      </c>
      <c r="D364" t="s">
        <v>1561</v>
      </c>
      <c r="E364" t="s">
        <v>1562</v>
      </c>
    </row>
    <row r="365" spans="1:5" x14ac:dyDescent="0.25">
      <c r="A365" t="s">
        <v>385</v>
      </c>
      <c r="B365">
        <v>5</v>
      </c>
      <c r="C365" t="s">
        <v>198</v>
      </c>
      <c r="D365" t="s">
        <v>1563</v>
      </c>
      <c r="E365" t="s">
        <v>1564</v>
      </c>
    </row>
    <row r="366" spans="1:5" x14ac:dyDescent="0.25">
      <c r="A366" t="s">
        <v>694</v>
      </c>
      <c r="B366">
        <v>5</v>
      </c>
      <c r="C366" t="s">
        <v>198</v>
      </c>
      <c r="D366" t="s">
        <v>1565</v>
      </c>
      <c r="E366" t="s">
        <v>1566</v>
      </c>
    </row>
    <row r="367" spans="1:5" x14ac:dyDescent="0.25">
      <c r="A367" t="s">
        <v>727</v>
      </c>
      <c r="B367">
        <v>5</v>
      </c>
      <c r="C367" t="s">
        <v>198</v>
      </c>
      <c r="D367" t="s">
        <v>1567</v>
      </c>
      <c r="E367" t="s">
        <v>1568</v>
      </c>
    </row>
    <row r="368" spans="1:5" x14ac:dyDescent="0.25">
      <c r="A368" t="s">
        <v>651</v>
      </c>
      <c r="B368">
        <v>5</v>
      </c>
      <c r="C368" t="s">
        <v>221</v>
      </c>
      <c r="D368" t="s">
        <v>1569</v>
      </c>
      <c r="E368" t="s">
        <v>1570</v>
      </c>
    </row>
    <row r="369" spans="1:5" x14ac:dyDescent="0.25">
      <c r="A369" t="s">
        <v>756</v>
      </c>
      <c r="B369">
        <v>5</v>
      </c>
      <c r="C369" t="s">
        <v>186</v>
      </c>
      <c r="D369" t="s">
        <v>1571</v>
      </c>
      <c r="E369" t="s">
        <v>1572</v>
      </c>
    </row>
    <row r="370" spans="1:5" x14ac:dyDescent="0.25">
      <c r="A370" t="s">
        <v>1573</v>
      </c>
      <c r="B370">
        <v>5</v>
      </c>
      <c r="C370" t="s">
        <v>198</v>
      </c>
      <c r="D370" t="s">
        <v>1574</v>
      </c>
      <c r="E370" t="s">
        <v>1575</v>
      </c>
    </row>
    <row r="371" spans="1:5" x14ac:dyDescent="0.25">
      <c r="A371" t="s">
        <v>677</v>
      </c>
      <c r="B371">
        <v>5</v>
      </c>
      <c r="C371" t="s">
        <v>186</v>
      </c>
      <c r="D371" t="s">
        <v>1576</v>
      </c>
      <c r="E371" t="s">
        <v>1577</v>
      </c>
    </row>
    <row r="372" spans="1:5" x14ac:dyDescent="0.25">
      <c r="A372" t="s">
        <v>654</v>
      </c>
      <c r="B372">
        <v>5</v>
      </c>
      <c r="C372" t="s">
        <v>186</v>
      </c>
      <c r="D372" t="s">
        <v>1578</v>
      </c>
      <c r="E372" t="s">
        <v>1579</v>
      </c>
    </row>
    <row r="373" spans="1:5" x14ac:dyDescent="0.25">
      <c r="A373" t="s">
        <v>742</v>
      </c>
      <c r="B373">
        <v>5</v>
      </c>
      <c r="C373" t="s">
        <v>186</v>
      </c>
      <c r="D373" t="s">
        <v>1580</v>
      </c>
      <c r="E373" t="s">
        <v>1581</v>
      </c>
    </row>
    <row r="374" spans="1:5" x14ac:dyDescent="0.25">
      <c r="A374" t="s">
        <v>691</v>
      </c>
      <c r="B374">
        <v>5</v>
      </c>
      <c r="C374" t="s">
        <v>198</v>
      </c>
      <c r="D374" t="s">
        <v>1582</v>
      </c>
      <c r="E374" t="s">
        <v>1583</v>
      </c>
    </row>
    <row r="375" spans="1:5" x14ac:dyDescent="0.25">
      <c r="A375" t="s">
        <v>1584</v>
      </c>
      <c r="B375">
        <v>4</v>
      </c>
      <c r="C375" t="s">
        <v>186</v>
      </c>
      <c r="D375" t="s">
        <v>1585</v>
      </c>
      <c r="E375" t="s">
        <v>1586</v>
      </c>
    </row>
    <row r="376" spans="1:5" x14ac:dyDescent="0.25">
      <c r="A376" t="s">
        <v>1587</v>
      </c>
      <c r="B376">
        <v>4</v>
      </c>
      <c r="C376" t="s">
        <v>198</v>
      </c>
      <c r="D376" t="s">
        <v>1588</v>
      </c>
      <c r="E376" t="s">
        <v>1589</v>
      </c>
    </row>
    <row r="377" spans="1:5" x14ac:dyDescent="0.25">
      <c r="A377" t="s">
        <v>1590</v>
      </c>
      <c r="B377">
        <v>4</v>
      </c>
      <c r="C377" t="s">
        <v>198</v>
      </c>
      <c r="D377" t="s">
        <v>1591</v>
      </c>
      <c r="E377" t="s">
        <v>1592</v>
      </c>
    </row>
    <row r="378" spans="1:5" x14ac:dyDescent="0.25">
      <c r="A378" t="s">
        <v>340</v>
      </c>
      <c r="B378">
        <v>4</v>
      </c>
      <c r="C378" t="s">
        <v>198</v>
      </c>
      <c r="D378" t="s">
        <v>1593</v>
      </c>
      <c r="E378" t="s">
        <v>1594</v>
      </c>
    </row>
    <row r="379" spans="1:5" x14ac:dyDescent="0.25">
      <c r="A379" t="s">
        <v>1595</v>
      </c>
      <c r="B379">
        <v>4</v>
      </c>
      <c r="C379" t="s">
        <v>186</v>
      </c>
      <c r="D379" t="s">
        <v>1596</v>
      </c>
      <c r="E379" t="s">
        <v>1597</v>
      </c>
    </row>
    <row r="380" spans="1:5" x14ac:dyDescent="0.25">
      <c r="A380" t="s">
        <v>336</v>
      </c>
      <c r="B380">
        <v>4</v>
      </c>
      <c r="C380" t="s">
        <v>186</v>
      </c>
      <c r="D380" t="s">
        <v>1598</v>
      </c>
      <c r="E380" t="s">
        <v>1599</v>
      </c>
    </row>
    <row r="381" spans="1:5" x14ac:dyDescent="0.25">
      <c r="A381" t="s">
        <v>1600</v>
      </c>
      <c r="B381">
        <v>4</v>
      </c>
      <c r="C381" t="s">
        <v>198</v>
      </c>
      <c r="D381" t="s">
        <v>1601</v>
      </c>
      <c r="E381" t="s">
        <v>1602</v>
      </c>
    </row>
    <row r="382" spans="1:5" x14ac:dyDescent="0.25">
      <c r="A382" t="s">
        <v>1603</v>
      </c>
      <c r="B382">
        <v>4</v>
      </c>
      <c r="C382" t="s">
        <v>186</v>
      </c>
      <c r="D382" t="s">
        <v>1604</v>
      </c>
      <c r="E382" t="s">
        <v>1605</v>
      </c>
    </row>
    <row r="383" spans="1:5" x14ac:dyDescent="0.25">
      <c r="A383" t="s">
        <v>387</v>
      </c>
      <c r="B383">
        <v>4</v>
      </c>
      <c r="C383" t="s">
        <v>198</v>
      </c>
      <c r="D383" t="s">
        <v>1606</v>
      </c>
      <c r="E383" t="s">
        <v>1607</v>
      </c>
    </row>
    <row r="384" spans="1:5" x14ac:dyDescent="0.25">
      <c r="A384" t="s">
        <v>447</v>
      </c>
      <c r="B384">
        <v>4</v>
      </c>
      <c r="C384" t="s">
        <v>198</v>
      </c>
      <c r="D384" t="s">
        <v>1608</v>
      </c>
      <c r="E384" t="s">
        <v>1609</v>
      </c>
    </row>
    <row r="385" spans="1:5" x14ac:dyDescent="0.25">
      <c r="A385" t="s">
        <v>632</v>
      </c>
      <c r="B385">
        <v>4</v>
      </c>
      <c r="C385" t="s">
        <v>198</v>
      </c>
      <c r="D385" t="s">
        <v>1610</v>
      </c>
      <c r="E385" t="s">
        <v>1611</v>
      </c>
    </row>
    <row r="386" spans="1:5" x14ac:dyDescent="0.25">
      <c r="A386" t="s">
        <v>660</v>
      </c>
      <c r="B386">
        <v>4</v>
      </c>
      <c r="C386" t="s">
        <v>198</v>
      </c>
      <c r="D386" t="s">
        <v>1612</v>
      </c>
      <c r="E386" t="s">
        <v>1613</v>
      </c>
    </row>
    <row r="387" spans="1:5" x14ac:dyDescent="0.25">
      <c r="A387" t="s">
        <v>577</v>
      </c>
      <c r="B387">
        <v>4</v>
      </c>
      <c r="C387" t="s">
        <v>186</v>
      </c>
      <c r="D387" t="s">
        <v>1614</v>
      </c>
      <c r="E387" t="s">
        <v>1615</v>
      </c>
    </row>
    <row r="388" spans="1:5" x14ac:dyDescent="0.25">
      <c r="A388" t="s">
        <v>673</v>
      </c>
      <c r="B388">
        <v>4</v>
      </c>
      <c r="C388" t="s">
        <v>186</v>
      </c>
      <c r="D388" t="s">
        <v>1616</v>
      </c>
      <c r="E388" t="s">
        <v>1617</v>
      </c>
    </row>
    <row r="389" spans="1:5" x14ac:dyDescent="0.25">
      <c r="A389" t="s">
        <v>682</v>
      </c>
      <c r="B389">
        <v>4</v>
      </c>
      <c r="C389" t="s">
        <v>186</v>
      </c>
      <c r="D389" t="s">
        <v>1618</v>
      </c>
      <c r="E389" t="s">
        <v>1619</v>
      </c>
    </row>
    <row r="390" spans="1:5" x14ac:dyDescent="0.25">
      <c r="A390" t="s">
        <v>736</v>
      </c>
      <c r="B390">
        <v>4</v>
      </c>
      <c r="C390" t="s">
        <v>186</v>
      </c>
      <c r="D390" t="s">
        <v>1620</v>
      </c>
      <c r="E390" t="s">
        <v>1621</v>
      </c>
    </row>
    <row r="391" spans="1:5" x14ac:dyDescent="0.25">
      <c r="A391" t="s">
        <v>647</v>
      </c>
      <c r="B391">
        <v>4</v>
      </c>
      <c r="C391" t="s">
        <v>186</v>
      </c>
      <c r="D391" t="s">
        <v>1622</v>
      </c>
      <c r="E391" t="s">
        <v>1623</v>
      </c>
    </row>
    <row r="392" spans="1:5" x14ac:dyDescent="0.25">
      <c r="A392" t="s">
        <v>678</v>
      </c>
      <c r="B392">
        <v>4</v>
      </c>
      <c r="C392" t="s">
        <v>186</v>
      </c>
      <c r="D392" t="s">
        <v>1624</v>
      </c>
      <c r="E392" t="s">
        <v>1625</v>
      </c>
    </row>
    <row r="393" spans="1:5" x14ac:dyDescent="0.25">
      <c r="A393" t="s">
        <v>747</v>
      </c>
      <c r="B393">
        <v>4</v>
      </c>
      <c r="C393" t="s">
        <v>186</v>
      </c>
      <c r="D393" t="s">
        <v>1626</v>
      </c>
      <c r="E393" t="s">
        <v>1627</v>
      </c>
    </row>
    <row r="394" spans="1:5" x14ac:dyDescent="0.25">
      <c r="A394" t="s">
        <v>1628</v>
      </c>
      <c r="B394">
        <v>3</v>
      </c>
      <c r="C394" t="s">
        <v>198</v>
      </c>
      <c r="D394" t="s">
        <v>1629</v>
      </c>
      <c r="E394" t="s">
        <v>1630</v>
      </c>
    </row>
    <row r="395" spans="1:5" x14ac:dyDescent="0.25">
      <c r="A395" t="s">
        <v>1631</v>
      </c>
      <c r="B395">
        <v>3</v>
      </c>
      <c r="C395" t="s">
        <v>198</v>
      </c>
      <c r="D395" t="s">
        <v>1632</v>
      </c>
      <c r="E395" t="s">
        <v>1633</v>
      </c>
    </row>
    <row r="396" spans="1:5" x14ac:dyDescent="0.25">
      <c r="A396" t="s">
        <v>1634</v>
      </c>
      <c r="B396">
        <v>3</v>
      </c>
      <c r="C396" t="s">
        <v>186</v>
      </c>
      <c r="D396" t="s">
        <v>1635</v>
      </c>
      <c r="E396" t="s">
        <v>1636</v>
      </c>
    </row>
    <row r="397" spans="1:5" x14ac:dyDescent="0.25">
      <c r="A397" t="s">
        <v>1637</v>
      </c>
      <c r="B397">
        <v>3</v>
      </c>
      <c r="C397" t="s">
        <v>198</v>
      </c>
      <c r="D397" t="s">
        <v>1638</v>
      </c>
      <c r="E397" t="s">
        <v>1639</v>
      </c>
    </row>
    <row r="398" spans="1:5" x14ac:dyDescent="0.25">
      <c r="A398" t="s">
        <v>1640</v>
      </c>
      <c r="B398">
        <v>3</v>
      </c>
      <c r="C398" t="s">
        <v>198</v>
      </c>
      <c r="D398" t="s">
        <v>1641</v>
      </c>
      <c r="E398" t="s">
        <v>1642</v>
      </c>
    </row>
    <row r="399" spans="1:5" x14ac:dyDescent="0.25">
      <c r="A399" t="s">
        <v>1643</v>
      </c>
      <c r="B399">
        <v>3</v>
      </c>
      <c r="C399" t="s">
        <v>186</v>
      </c>
      <c r="D399" t="s">
        <v>1644</v>
      </c>
      <c r="E399" t="s">
        <v>1645</v>
      </c>
    </row>
    <row r="400" spans="1:5" x14ac:dyDescent="0.25">
      <c r="A400" t="s">
        <v>333</v>
      </c>
      <c r="B400">
        <v>3</v>
      </c>
      <c r="C400" t="s">
        <v>198</v>
      </c>
      <c r="D400" t="s">
        <v>1646</v>
      </c>
      <c r="E400" t="s">
        <v>1647</v>
      </c>
    </row>
    <row r="401" spans="1:5" x14ac:dyDescent="0.25">
      <c r="A401" t="s">
        <v>320</v>
      </c>
      <c r="B401">
        <v>3</v>
      </c>
      <c r="C401" t="s">
        <v>198</v>
      </c>
      <c r="D401" t="s">
        <v>1648</v>
      </c>
      <c r="E401" t="s">
        <v>1649</v>
      </c>
    </row>
    <row r="402" spans="1:5" x14ac:dyDescent="0.25">
      <c r="A402" t="s">
        <v>327</v>
      </c>
      <c r="B402">
        <v>3</v>
      </c>
      <c r="C402" t="s">
        <v>198</v>
      </c>
      <c r="D402" t="s">
        <v>1650</v>
      </c>
      <c r="E402" t="s">
        <v>1651</v>
      </c>
    </row>
    <row r="403" spans="1:5" x14ac:dyDescent="0.25">
      <c r="A403" t="s">
        <v>1652</v>
      </c>
      <c r="B403">
        <v>3</v>
      </c>
      <c r="C403" t="s">
        <v>198</v>
      </c>
      <c r="D403" t="s">
        <v>1653</v>
      </c>
      <c r="E403" t="s">
        <v>1654</v>
      </c>
    </row>
    <row r="404" spans="1:5" x14ac:dyDescent="0.25">
      <c r="A404" t="s">
        <v>1655</v>
      </c>
      <c r="B404">
        <v>3</v>
      </c>
      <c r="C404" t="s">
        <v>198</v>
      </c>
      <c r="D404" t="s">
        <v>1656</v>
      </c>
      <c r="E404" t="s">
        <v>1657</v>
      </c>
    </row>
    <row r="405" spans="1:5" x14ac:dyDescent="0.25">
      <c r="A405" t="s">
        <v>1658</v>
      </c>
      <c r="B405">
        <v>3</v>
      </c>
      <c r="C405" t="s">
        <v>186</v>
      </c>
      <c r="D405" t="s">
        <v>1659</v>
      </c>
      <c r="E405" t="s">
        <v>1660</v>
      </c>
    </row>
    <row r="406" spans="1:5" x14ac:dyDescent="0.25">
      <c r="A406" t="s">
        <v>1661</v>
      </c>
      <c r="B406">
        <v>3</v>
      </c>
      <c r="C406" t="s">
        <v>198</v>
      </c>
      <c r="D406" t="s">
        <v>1662</v>
      </c>
      <c r="E406" t="s">
        <v>1663</v>
      </c>
    </row>
    <row r="407" spans="1:5" x14ac:dyDescent="0.25">
      <c r="A407" t="s">
        <v>1664</v>
      </c>
      <c r="B407">
        <v>3</v>
      </c>
      <c r="C407" t="s">
        <v>186</v>
      </c>
      <c r="D407" t="s">
        <v>1665</v>
      </c>
      <c r="E407" t="s">
        <v>1666</v>
      </c>
    </row>
    <row r="408" spans="1:5" x14ac:dyDescent="0.25">
      <c r="A408" t="s">
        <v>1667</v>
      </c>
      <c r="B408">
        <v>3</v>
      </c>
      <c r="C408" t="s">
        <v>186</v>
      </c>
      <c r="D408" t="s">
        <v>1668</v>
      </c>
      <c r="E408" t="s">
        <v>1669</v>
      </c>
    </row>
    <row r="409" spans="1:5" x14ac:dyDescent="0.25">
      <c r="A409" t="s">
        <v>322</v>
      </c>
      <c r="B409">
        <v>3</v>
      </c>
      <c r="C409" t="s">
        <v>198</v>
      </c>
      <c r="D409" t="s">
        <v>1670</v>
      </c>
      <c r="E409" t="s">
        <v>1671</v>
      </c>
    </row>
    <row r="410" spans="1:5" x14ac:dyDescent="0.25">
      <c r="A410" t="s">
        <v>1672</v>
      </c>
      <c r="B410">
        <v>3</v>
      </c>
      <c r="C410" t="s">
        <v>198</v>
      </c>
      <c r="D410" t="s">
        <v>1673</v>
      </c>
      <c r="E410" t="s">
        <v>1674</v>
      </c>
    </row>
    <row r="411" spans="1:5" x14ac:dyDescent="0.25">
      <c r="A411" t="s">
        <v>1675</v>
      </c>
      <c r="B411">
        <v>3</v>
      </c>
      <c r="C411" t="s">
        <v>186</v>
      </c>
      <c r="D411" t="s">
        <v>1676</v>
      </c>
      <c r="E411" t="s">
        <v>1677</v>
      </c>
    </row>
    <row r="412" spans="1:5" x14ac:dyDescent="0.25">
      <c r="A412" t="s">
        <v>1678</v>
      </c>
      <c r="B412">
        <v>3</v>
      </c>
      <c r="C412" t="s">
        <v>198</v>
      </c>
      <c r="D412" t="s">
        <v>1679</v>
      </c>
      <c r="E412" t="s">
        <v>1680</v>
      </c>
    </row>
    <row r="413" spans="1:5" x14ac:dyDescent="0.25">
      <c r="A413" t="s">
        <v>1681</v>
      </c>
      <c r="B413">
        <v>3</v>
      </c>
      <c r="C413" t="s">
        <v>186</v>
      </c>
      <c r="D413" t="s">
        <v>1682</v>
      </c>
      <c r="E413" t="s">
        <v>1683</v>
      </c>
    </row>
    <row r="414" spans="1:5" x14ac:dyDescent="0.25">
      <c r="A414" t="s">
        <v>325</v>
      </c>
      <c r="B414">
        <v>3</v>
      </c>
      <c r="C414" t="s">
        <v>186</v>
      </c>
      <c r="D414" t="s">
        <v>1684</v>
      </c>
      <c r="E414" t="s">
        <v>1685</v>
      </c>
    </row>
    <row r="415" spans="1:5" x14ac:dyDescent="0.25">
      <c r="A415" t="s">
        <v>1686</v>
      </c>
      <c r="B415">
        <v>3</v>
      </c>
      <c r="C415" t="s">
        <v>186</v>
      </c>
      <c r="D415" t="s">
        <v>1687</v>
      </c>
      <c r="E415" t="s">
        <v>1688</v>
      </c>
    </row>
    <row r="416" spans="1:5" x14ac:dyDescent="0.25">
      <c r="A416" t="s">
        <v>326</v>
      </c>
      <c r="B416">
        <v>3</v>
      </c>
      <c r="C416" t="s">
        <v>186</v>
      </c>
      <c r="D416" t="s">
        <v>1689</v>
      </c>
      <c r="E416" t="s">
        <v>1690</v>
      </c>
    </row>
    <row r="417" spans="1:5" x14ac:dyDescent="0.25">
      <c r="A417" t="s">
        <v>334</v>
      </c>
      <c r="B417">
        <v>3</v>
      </c>
      <c r="C417" t="s">
        <v>198</v>
      </c>
      <c r="D417" t="s">
        <v>1691</v>
      </c>
      <c r="E417" t="s">
        <v>1692</v>
      </c>
    </row>
    <row r="418" spans="1:5" x14ac:dyDescent="0.25">
      <c r="A418" t="s">
        <v>1693</v>
      </c>
      <c r="B418">
        <v>3</v>
      </c>
      <c r="C418" t="s">
        <v>198</v>
      </c>
      <c r="D418" t="s">
        <v>1694</v>
      </c>
      <c r="E418" t="s">
        <v>1695</v>
      </c>
    </row>
    <row r="419" spans="1:5" x14ac:dyDescent="0.25">
      <c r="A419" t="s">
        <v>341</v>
      </c>
      <c r="B419">
        <v>3</v>
      </c>
      <c r="C419" t="s">
        <v>198</v>
      </c>
      <c r="D419" t="s">
        <v>1696</v>
      </c>
      <c r="E419" t="s">
        <v>1697</v>
      </c>
    </row>
    <row r="420" spans="1:5" x14ac:dyDescent="0.25">
      <c r="A420" t="s">
        <v>1698</v>
      </c>
      <c r="B420">
        <v>3</v>
      </c>
      <c r="C420" t="s">
        <v>186</v>
      </c>
      <c r="D420" t="s">
        <v>1699</v>
      </c>
      <c r="E420" t="s">
        <v>1700</v>
      </c>
    </row>
    <row r="421" spans="1:5" x14ac:dyDescent="0.25">
      <c r="A421" t="s">
        <v>315</v>
      </c>
      <c r="B421">
        <v>3</v>
      </c>
      <c r="C421" t="s">
        <v>198</v>
      </c>
      <c r="D421" t="s">
        <v>1701</v>
      </c>
      <c r="E421" t="s">
        <v>1702</v>
      </c>
    </row>
    <row r="422" spans="1:5" x14ac:dyDescent="0.25">
      <c r="A422" t="s">
        <v>504</v>
      </c>
      <c r="B422">
        <v>3</v>
      </c>
      <c r="C422" t="s">
        <v>198</v>
      </c>
      <c r="D422" t="s">
        <v>1703</v>
      </c>
      <c r="E422" t="s">
        <v>1704</v>
      </c>
    </row>
    <row r="423" spans="1:5" x14ac:dyDescent="0.25">
      <c r="A423" t="s">
        <v>471</v>
      </c>
      <c r="B423">
        <v>3</v>
      </c>
      <c r="C423" t="s">
        <v>198</v>
      </c>
      <c r="D423" t="s">
        <v>1705</v>
      </c>
      <c r="E423" t="s">
        <v>1706</v>
      </c>
    </row>
    <row r="424" spans="1:5" x14ac:dyDescent="0.25">
      <c r="A424" t="s">
        <v>564</v>
      </c>
      <c r="B424">
        <v>3</v>
      </c>
      <c r="C424" t="s">
        <v>198</v>
      </c>
      <c r="D424" t="s">
        <v>1707</v>
      </c>
      <c r="E424" t="s">
        <v>1708</v>
      </c>
    </row>
    <row r="425" spans="1:5" x14ac:dyDescent="0.25">
      <c r="A425" t="s">
        <v>448</v>
      </c>
      <c r="B425">
        <v>3</v>
      </c>
      <c r="C425" t="s">
        <v>198</v>
      </c>
      <c r="D425" t="s">
        <v>1709</v>
      </c>
      <c r="E425" t="s">
        <v>1710</v>
      </c>
    </row>
    <row r="426" spans="1:5" x14ac:dyDescent="0.25">
      <c r="A426" t="s">
        <v>642</v>
      </c>
      <c r="B426">
        <v>3</v>
      </c>
      <c r="C426" t="s">
        <v>198</v>
      </c>
      <c r="D426" t="s">
        <v>1711</v>
      </c>
      <c r="E426" t="s">
        <v>1712</v>
      </c>
    </row>
    <row r="427" spans="1:5" x14ac:dyDescent="0.25">
      <c r="A427" t="s">
        <v>633</v>
      </c>
      <c r="B427">
        <v>3</v>
      </c>
      <c r="C427" t="s">
        <v>198</v>
      </c>
      <c r="D427" t="s">
        <v>1713</v>
      </c>
      <c r="E427" t="s">
        <v>1714</v>
      </c>
    </row>
    <row r="428" spans="1:5" x14ac:dyDescent="0.25">
      <c r="A428" t="s">
        <v>750</v>
      </c>
      <c r="B428">
        <v>3</v>
      </c>
      <c r="C428" t="s">
        <v>221</v>
      </c>
      <c r="D428" t="s">
        <v>1715</v>
      </c>
      <c r="E428" t="s">
        <v>1716</v>
      </c>
    </row>
    <row r="429" spans="1:5" x14ac:dyDescent="0.25">
      <c r="A429" t="s">
        <v>663</v>
      </c>
      <c r="B429">
        <v>3</v>
      </c>
      <c r="C429" t="s">
        <v>186</v>
      </c>
      <c r="D429" t="s">
        <v>1717</v>
      </c>
      <c r="E429" t="s">
        <v>1718</v>
      </c>
    </row>
    <row r="430" spans="1:5" x14ac:dyDescent="0.25">
      <c r="A430" t="s">
        <v>743</v>
      </c>
      <c r="B430">
        <v>3</v>
      </c>
      <c r="C430" t="s">
        <v>202</v>
      </c>
      <c r="D430" t="s">
        <v>1719</v>
      </c>
      <c r="E430" t="s">
        <v>1720</v>
      </c>
    </row>
    <row r="431" spans="1:5" x14ac:dyDescent="0.25">
      <c r="A431" t="s">
        <v>1721</v>
      </c>
      <c r="B431">
        <v>3</v>
      </c>
      <c r="C431" t="s">
        <v>198</v>
      </c>
      <c r="D431" t="s">
        <v>1722</v>
      </c>
      <c r="E431" t="s">
        <v>1723</v>
      </c>
    </row>
    <row r="432" spans="1:5" x14ac:dyDescent="0.25">
      <c r="A432" t="s">
        <v>769</v>
      </c>
      <c r="B432">
        <v>3</v>
      </c>
      <c r="C432" t="s">
        <v>186</v>
      </c>
      <c r="D432" t="s">
        <v>1724</v>
      </c>
      <c r="E432" t="s">
        <v>1725</v>
      </c>
    </row>
    <row r="433" spans="1:5" x14ac:dyDescent="0.25">
      <c r="A433" t="s">
        <v>657</v>
      </c>
      <c r="B433">
        <v>3</v>
      </c>
      <c r="C433" t="s">
        <v>221</v>
      </c>
      <c r="D433" t="s">
        <v>1726</v>
      </c>
      <c r="E433" t="s">
        <v>1727</v>
      </c>
    </row>
    <row r="434" spans="1:5" x14ac:dyDescent="0.25">
      <c r="A434" t="s">
        <v>758</v>
      </c>
      <c r="B434">
        <v>3</v>
      </c>
      <c r="C434" t="s">
        <v>186</v>
      </c>
      <c r="D434" t="s">
        <v>1728</v>
      </c>
      <c r="E434" t="s">
        <v>1729</v>
      </c>
    </row>
    <row r="435" spans="1:5" x14ac:dyDescent="0.25">
      <c r="A435" t="s">
        <v>1730</v>
      </c>
      <c r="B435">
        <v>2</v>
      </c>
      <c r="C435" t="s">
        <v>198</v>
      </c>
      <c r="D435" t="s">
        <v>1731</v>
      </c>
      <c r="E435" t="s">
        <v>1732</v>
      </c>
    </row>
    <row r="436" spans="1:5" x14ac:dyDescent="0.25">
      <c r="A436" t="s">
        <v>1733</v>
      </c>
      <c r="B436">
        <v>2</v>
      </c>
      <c r="C436" t="s">
        <v>198</v>
      </c>
      <c r="D436" t="s">
        <v>1734</v>
      </c>
      <c r="E436" t="s">
        <v>1735</v>
      </c>
    </row>
    <row r="437" spans="1:5" x14ac:dyDescent="0.25">
      <c r="A437" t="s">
        <v>1736</v>
      </c>
      <c r="B437">
        <v>2</v>
      </c>
      <c r="C437" t="s">
        <v>186</v>
      </c>
      <c r="D437" t="s">
        <v>1737</v>
      </c>
      <c r="E437" t="s">
        <v>1738</v>
      </c>
    </row>
    <row r="438" spans="1:5" x14ac:dyDescent="0.25">
      <c r="A438" t="s">
        <v>1739</v>
      </c>
      <c r="B438">
        <v>2</v>
      </c>
      <c r="C438" t="s">
        <v>198</v>
      </c>
      <c r="D438" t="s">
        <v>1740</v>
      </c>
      <c r="E438" t="s">
        <v>1741</v>
      </c>
    </row>
    <row r="439" spans="1:5" x14ac:dyDescent="0.25">
      <c r="A439" t="s">
        <v>313</v>
      </c>
      <c r="B439">
        <v>2</v>
      </c>
      <c r="C439" t="s">
        <v>198</v>
      </c>
      <c r="D439" t="s">
        <v>1742</v>
      </c>
      <c r="E439" t="s">
        <v>1743</v>
      </c>
    </row>
    <row r="440" spans="1:5" x14ac:dyDescent="0.25">
      <c r="A440" t="s">
        <v>1744</v>
      </c>
      <c r="B440">
        <v>2</v>
      </c>
      <c r="C440" t="s">
        <v>198</v>
      </c>
      <c r="D440" t="s">
        <v>1745</v>
      </c>
      <c r="E440" t="s">
        <v>1746</v>
      </c>
    </row>
    <row r="441" spans="1:5" x14ac:dyDescent="0.25">
      <c r="A441" t="s">
        <v>1747</v>
      </c>
      <c r="B441">
        <v>2</v>
      </c>
      <c r="C441" t="s">
        <v>186</v>
      </c>
      <c r="D441" t="s">
        <v>1748</v>
      </c>
      <c r="E441" t="s">
        <v>1749</v>
      </c>
    </row>
    <row r="442" spans="1:5" x14ac:dyDescent="0.25">
      <c r="A442" t="s">
        <v>319</v>
      </c>
      <c r="B442">
        <v>2</v>
      </c>
      <c r="C442" t="s">
        <v>198</v>
      </c>
      <c r="D442" t="s">
        <v>1750</v>
      </c>
      <c r="E442" t="s">
        <v>1751</v>
      </c>
    </row>
    <row r="443" spans="1:5" x14ac:dyDescent="0.25">
      <c r="A443" t="s">
        <v>1752</v>
      </c>
      <c r="B443">
        <v>2</v>
      </c>
      <c r="C443" t="s">
        <v>186</v>
      </c>
      <c r="D443" t="s">
        <v>1753</v>
      </c>
      <c r="E443" t="s">
        <v>1754</v>
      </c>
    </row>
    <row r="444" spans="1:5" x14ac:dyDescent="0.25">
      <c r="A444" t="s">
        <v>1755</v>
      </c>
      <c r="B444">
        <v>2</v>
      </c>
      <c r="C444" t="s">
        <v>198</v>
      </c>
      <c r="D444" t="s">
        <v>1756</v>
      </c>
      <c r="E444" t="s">
        <v>1757</v>
      </c>
    </row>
    <row r="445" spans="1:5" x14ac:dyDescent="0.25">
      <c r="A445" t="s">
        <v>331</v>
      </c>
      <c r="B445">
        <v>2</v>
      </c>
      <c r="C445" t="s">
        <v>198</v>
      </c>
      <c r="D445" t="s">
        <v>1758</v>
      </c>
      <c r="E445" t="s">
        <v>1759</v>
      </c>
    </row>
    <row r="446" spans="1:5" x14ac:dyDescent="0.25">
      <c r="A446" t="s">
        <v>1760</v>
      </c>
      <c r="B446">
        <v>2</v>
      </c>
      <c r="C446" t="s">
        <v>221</v>
      </c>
      <c r="D446" t="s">
        <v>1761</v>
      </c>
      <c r="E446" t="s">
        <v>1762</v>
      </c>
    </row>
    <row r="447" spans="1:5" x14ac:dyDescent="0.25">
      <c r="A447" t="s">
        <v>1763</v>
      </c>
      <c r="B447">
        <v>2</v>
      </c>
      <c r="C447" t="s">
        <v>198</v>
      </c>
      <c r="D447" t="s">
        <v>1764</v>
      </c>
      <c r="E447" t="s">
        <v>1765</v>
      </c>
    </row>
    <row r="448" spans="1:5" x14ac:dyDescent="0.25">
      <c r="A448" t="s">
        <v>1766</v>
      </c>
      <c r="B448">
        <v>2</v>
      </c>
      <c r="C448" t="s">
        <v>198</v>
      </c>
      <c r="D448" t="s">
        <v>1767</v>
      </c>
      <c r="E448" t="s">
        <v>1768</v>
      </c>
    </row>
    <row r="449" spans="1:5" x14ac:dyDescent="0.25">
      <c r="A449" t="s">
        <v>1769</v>
      </c>
      <c r="B449">
        <v>2</v>
      </c>
      <c r="C449" t="s">
        <v>198</v>
      </c>
      <c r="D449" t="s">
        <v>1770</v>
      </c>
      <c r="E449" t="s">
        <v>1771</v>
      </c>
    </row>
    <row r="450" spans="1:5" x14ac:dyDescent="0.25">
      <c r="A450" t="s">
        <v>1772</v>
      </c>
      <c r="B450">
        <v>2</v>
      </c>
      <c r="C450" t="s">
        <v>198</v>
      </c>
      <c r="D450" t="s">
        <v>1773</v>
      </c>
      <c r="E450" t="s">
        <v>1774</v>
      </c>
    </row>
    <row r="451" spans="1:5" x14ac:dyDescent="0.25">
      <c r="A451" t="s">
        <v>506</v>
      </c>
      <c r="B451">
        <v>2</v>
      </c>
      <c r="C451" t="s">
        <v>198</v>
      </c>
      <c r="D451" t="s">
        <v>1775</v>
      </c>
      <c r="E451" t="s">
        <v>1776</v>
      </c>
    </row>
    <row r="452" spans="1:5" x14ac:dyDescent="0.25">
      <c r="A452" t="s">
        <v>468</v>
      </c>
      <c r="B452">
        <v>2</v>
      </c>
      <c r="C452" t="s">
        <v>198</v>
      </c>
      <c r="D452" t="s">
        <v>1777</v>
      </c>
      <c r="E452" t="s">
        <v>1778</v>
      </c>
    </row>
    <row r="453" spans="1:5" x14ac:dyDescent="0.25">
      <c r="A453" t="s">
        <v>453</v>
      </c>
      <c r="B453">
        <v>2</v>
      </c>
      <c r="C453" t="s">
        <v>198</v>
      </c>
      <c r="D453" t="s">
        <v>1779</v>
      </c>
      <c r="E453" t="s">
        <v>1780</v>
      </c>
    </row>
    <row r="454" spans="1:5" x14ac:dyDescent="0.25">
      <c r="A454" t="s">
        <v>405</v>
      </c>
      <c r="B454">
        <v>2</v>
      </c>
      <c r="C454" t="s">
        <v>198</v>
      </c>
      <c r="D454" t="s">
        <v>1781</v>
      </c>
      <c r="E454" t="s">
        <v>1782</v>
      </c>
    </row>
    <row r="455" spans="1:5" x14ac:dyDescent="0.25">
      <c r="A455" t="s">
        <v>439</v>
      </c>
      <c r="B455">
        <v>2</v>
      </c>
      <c r="C455" t="s">
        <v>198</v>
      </c>
      <c r="D455" t="s">
        <v>1783</v>
      </c>
      <c r="E455" t="s">
        <v>1784</v>
      </c>
    </row>
    <row r="456" spans="1:5" x14ac:dyDescent="0.25">
      <c r="A456" t="s">
        <v>488</v>
      </c>
      <c r="B456">
        <v>2</v>
      </c>
      <c r="C456" t="s">
        <v>198</v>
      </c>
      <c r="D456" t="s">
        <v>1785</v>
      </c>
      <c r="E456" t="s">
        <v>1786</v>
      </c>
    </row>
    <row r="457" spans="1:5" x14ac:dyDescent="0.25">
      <c r="A457" t="s">
        <v>1787</v>
      </c>
      <c r="B457">
        <v>2</v>
      </c>
      <c r="C457" t="s">
        <v>221</v>
      </c>
      <c r="D457" t="s">
        <v>1788</v>
      </c>
      <c r="E457" t="s">
        <v>1789</v>
      </c>
    </row>
    <row r="458" spans="1:5" x14ac:dyDescent="0.25">
      <c r="A458" t="s">
        <v>1790</v>
      </c>
      <c r="B458">
        <v>2</v>
      </c>
      <c r="C458" t="s">
        <v>198</v>
      </c>
      <c r="D458" t="s">
        <v>1791</v>
      </c>
      <c r="E458" t="s">
        <v>1792</v>
      </c>
    </row>
    <row r="459" spans="1:5" x14ac:dyDescent="0.25">
      <c r="A459" t="s">
        <v>1793</v>
      </c>
      <c r="B459">
        <v>2</v>
      </c>
      <c r="C459" t="s">
        <v>198</v>
      </c>
      <c r="D459" t="s">
        <v>1794</v>
      </c>
      <c r="E459" t="s">
        <v>1795</v>
      </c>
    </row>
    <row r="460" spans="1:5" x14ac:dyDescent="0.25">
      <c r="A460" t="s">
        <v>600</v>
      </c>
      <c r="B460">
        <v>2</v>
      </c>
      <c r="C460" t="s">
        <v>198</v>
      </c>
      <c r="D460" t="s">
        <v>1796</v>
      </c>
      <c r="E460" t="s">
        <v>1797</v>
      </c>
    </row>
    <row r="461" spans="1:5" x14ac:dyDescent="0.25">
      <c r="A461" t="s">
        <v>725</v>
      </c>
      <c r="B461">
        <v>2</v>
      </c>
      <c r="C461" t="s">
        <v>198</v>
      </c>
      <c r="D461" t="s">
        <v>1798</v>
      </c>
      <c r="E461" t="s">
        <v>1799</v>
      </c>
    </row>
    <row r="462" spans="1:5" x14ac:dyDescent="0.25">
      <c r="A462" t="s">
        <v>599</v>
      </c>
      <c r="B462">
        <v>2</v>
      </c>
      <c r="C462" t="s">
        <v>198</v>
      </c>
      <c r="D462" t="s">
        <v>1800</v>
      </c>
      <c r="E462" t="s">
        <v>1801</v>
      </c>
    </row>
    <row r="463" spans="1:5" x14ac:dyDescent="0.25">
      <c r="A463" t="s">
        <v>644</v>
      </c>
      <c r="B463">
        <v>2</v>
      </c>
      <c r="C463" t="s">
        <v>198</v>
      </c>
      <c r="D463" t="s">
        <v>1802</v>
      </c>
      <c r="E463" t="s">
        <v>1803</v>
      </c>
    </row>
    <row r="464" spans="1:5" x14ac:dyDescent="0.25">
      <c r="A464" t="s">
        <v>1804</v>
      </c>
      <c r="B464">
        <v>2</v>
      </c>
      <c r="C464" t="s">
        <v>198</v>
      </c>
      <c r="D464" t="s">
        <v>1805</v>
      </c>
      <c r="E464" t="s">
        <v>1806</v>
      </c>
    </row>
    <row r="465" spans="1:5" x14ac:dyDescent="0.25">
      <c r="A465" t="s">
        <v>478</v>
      </c>
      <c r="B465">
        <v>2</v>
      </c>
      <c r="C465" t="s">
        <v>198</v>
      </c>
      <c r="D465" t="s">
        <v>1807</v>
      </c>
      <c r="E465" t="s">
        <v>1808</v>
      </c>
    </row>
    <row r="466" spans="1:5" x14ac:dyDescent="0.25">
      <c r="A466" t="s">
        <v>655</v>
      </c>
      <c r="B466">
        <v>2</v>
      </c>
      <c r="C466" t="s">
        <v>198</v>
      </c>
      <c r="D466" t="s">
        <v>1809</v>
      </c>
      <c r="E466" t="s">
        <v>1810</v>
      </c>
    </row>
    <row r="467" spans="1:5" x14ac:dyDescent="0.25">
      <c r="A467" t="s">
        <v>1811</v>
      </c>
      <c r="B467">
        <v>2</v>
      </c>
      <c r="C467" t="s">
        <v>198</v>
      </c>
      <c r="D467" t="s">
        <v>1812</v>
      </c>
      <c r="E467" t="s">
        <v>1813</v>
      </c>
    </row>
    <row r="468" spans="1:5" x14ac:dyDescent="0.25">
      <c r="A468" t="s">
        <v>744</v>
      </c>
      <c r="B468">
        <v>2</v>
      </c>
      <c r="C468" t="s">
        <v>198</v>
      </c>
      <c r="D468" t="s">
        <v>1814</v>
      </c>
      <c r="E468" t="s">
        <v>1815</v>
      </c>
    </row>
    <row r="469" spans="1:5" x14ac:dyDescent="0.25">
      <c r="A469" t="s">
        <v>1816</v>
      </c>
      <c r="B469">
        <v>2</v>
      </c>
      <c r="C469" t="s">
        <v>198</v>
      </c>
      <c r="D469" t="s">
        <v>1817</v>
      </c>
      <c r="E469" t="s">
        <v>1818</v>
      </c>
    </row>
    <row r="470" spans="1:5" x14ac:dyDescent="0.25">
      <c r="A470" t="s">
        <v>664</v>
      </c>
      <c r="B470">
        <v>2</v>
      </c>
      <c r="C470" t="s">
        <v>198</v>
      </c>
      <c r="D470" t="s">
        <v>1819</v>
      </c>
      <c r="E470" t="s">
        <v>1820</v>
      </c>
    </row>
    <row r="471" spans="1:5" x14ac:dyDescent="0.25">
      <c r="A471" t="s">
        <v>529</v>
      </c>
      <c r="B471">
        <v>2</v>
      </c>
      <c r="C471" t="s">
        <v>198</v>
      </c>
      <c r="D471" t="s">
        <v>1821</v>
      </c>
      <c r="E471" t="s">
        <v>1822</v>
      </c>
    </row>
    <row r="472" spans="1:5" x14ac:dyDescent="0.25">
      <c r="A472" t="s">
        <v>670</v>
      </c>
      <c r="B472">
        <v>2</v>
      </c>
      <c r="C472" t="s">
        <v>186</v>
      </c>
      <c r="D472" t="s">
        <v>1823</v>
      </c>
      <c r="E472" t="s">
        <v>1824</v>
      </c>
    </row>
    <row r="473" spans="1:5" x14ac:dyDescent="0.25">
      <c r="A473" t="s">
        <v>776</v>
      </c>
      <c r="B473">
        <v>2</v>
      </c>
      <c r="C473" t="s">
        <v>186</v>
      </c>
      <c r="D473" t="s">
        <v>1825</v>
      </c>
      <c r="E473" t="s">
        <v>1826</v>
      </c>
    </row>
    <row r="474" spans="1:5" x14ac:dyDescent="0.25">
      <c r="A474" t="s">
        <v>649</v>
      </c>
      <c r="B474">
        <v>2</v>
      </c>
      <c r="C474" t="s">
        <v>198</v>
      </c>
      <c r="D474" t="s">
        <v>1827</v>
      </c>
      <c r="E474" t="s">
        <v>1828</v>
      </c>
    </row>
    <row r="475" spans="1:5" x14ac:dyDescent="0.25">
      <c r="A475" t="s">
        <v>740</v>
      </c>
      <c r="B475">
        <v>2</v>
      </c>
      <c r="C475" t="s">
        <v>186</v>
      </c>
      <c r="D475" t="s">
        <v>1829</v>
      </c>
      <c r="E475" t="s">
        <v>1830</v>
      </c>
    </row>
    <row r="476" spans="1:5" x14ac:dyDescent="0.25">
      <c r="A476" t="s">
        <v>762</v>
      </c>
      <c r="B476">
        <v>2</v>
      </c>
      <c r="C476" t="s">
        <v>186</v>
      </c>
      <c r="D476" t="s">
        <v>1831</v>
      </c>
      <c r="E476" t="s">
        <v>1832</v>
      </c>
    </row>
    <row r="477" spans="1:5" x14ac:dyDescent="0.25">
      <c r="A477" t="s">
        <v>766</v>
      </c>
      <c r="B477">
        <v>2</v>
      </c>
      <c r="C477" t="s">
        <v>186</v>
      </c>
      <c r="D477" t="s">
        <v>1833</v>
      </c>
      <c r="E477" t="s">
        <v>1834</v>
      </c>
    </row>
    <row r="478" spans="1:5" x14ac:dyDescent="0.25">
      <c r="A478" t="s">
        <v>771</v>
      </c>
      <c r="B478">
        <v>2</v>
      </c>
      <c r="C478" t="s">
        <v>198</v>
      </c>
      <c r="D478" t="s">
        <v>1835</v>
      </c>
      <c r="E478" t="s">
        <v>1836</v>
      </c>
    </row>
    <row r="479" spans="1:5" x14ac:dyDescent="0.25">
      <c r="A479" t="s">
        <v>1837</v>
      </c>
      <c r="B479">
        <v>1</v>
      </c>
      <c r="C479" t="s">
        <v>186</v>
      </c>
      <c r="D479" t="s">
        <v>1838</v>
      </c>
      <c r="E479" t="s">
        <v>1838</v>
      </c>
    </row>
    <row r="480" spans="1:5" x14ac:dyDescent="0.25">
      <c r="A480" t="s">
        <v>1839</v>
      </c>
      <c r="B480">
        <v>1</v>
      </c>
      <c r="C480" t="s">
        <v>198</v>
      </c>
      <c r="D480" t="s">
        <v>1840</v>
      </c>
      <c r="E480" t="s">
        <v>1840</v>
      </c>
    </row>
    <row r="481" spans="1:5" x14ac:dyDescent="0.25">
      <c r="A481" t="s">
        <v>1841</v>
      </c>
      <c r="B481">
        <v>1</v>
      </c>
      <c r="C481" t="s">
        <v>198</v>
      </c>
      <c r="D481" t="s">
        <v>1842</v>
      </c>
      <c r="E481" t="s">
        <v>1842</v>
      </c>
    </row>
    <row r="482" spans="1:5" x14ac:dyDescent="0.25">
      <c r="A482" t="s">
        <v>1843</v>
      </c>
      <c r="B482">
        <v>1</v>
      </c>
      <c r="C482" t="s">
        <v>186</v>
      </c>
      <c r="D482" t="s">
        <v>1844</v>
      </c>
      <c r="E482" t="s">
        <v>1844</v>
      </c>
    </row>
    <row r="483" spans="1:5" x14ac:dyDescent="0.25">
      <c r="A483" t="s">
        <v>1845</v>
      </c>
      <c r="B483">
        <v>1</v>
      </c>
      <c r="C483" t="s">
        <v>186</v>
      </c>
      <c r="D483" t="s">
        <v>1846</v>
      </c>
      <c r="E483" t="s">
        <v>1846</v>
      </c>
    </row>
    <row r="484" spans="1:5" x14ac:dyDescent="0.25">
      <c r="A484" t="s">
        <v>1847</v>
      </c>
      <c r="B484">
        <v>1</v>
      </c>
      <c r="C484" t="s">
        <v>186</v>
      </c>
      <c r="D484" t="s">
        <v>1848</v>
      </c>
      <c r="E484" t="s">
        <v>1848</v>
      </c>
    </row>
    <row r="485" spans="1:5" x14ac:dyDescent="0.25">
      <c r="A485" t="s">
        <v>1849</v>
      </c>
      <c r="B485">
        <v>1</v>
      </c>
      <c r="C485" t="s">
        <v>186</v>
      </c>
      <c r="D485" t="s">
        <v>1850</v>
      </c>
      <c r="E485" t="s">
        <v>1850</v>
      </c>
    </row>
    <row r="486" spans="1:5" x14ac:dyDescent="0.25">
      <c r="A486" t="s">
        <v>1851</v>
      </c>
      <c r="B486">
        <v>1</v>
      </c>
      <c r="C486" t="s">
        <v>198</v>
      </c>
      <c r="D486" t="s">
        <v>1852</v>
      </c>
      <c r="E486" t="s">
        <v>1852</v>
      </c>
    </row>
    <row r="487" spans="1:5" x14ac:dyDescent="0.25">
      <c r="A487" t="s">
        <v>1853</v>
      </c>
      <c r="B487">
        <v>1</v>
      </c>
      <c r="C487" t="s">
        <v>186</v>
      </c>
      <c r="D487" t="s">
        <v>1854</v>
      </c>
      <c r="E487" t="s">
        <v>1854</v>
      </c>
    </row>
    <row r="488" spans="1:5" x14ac:dyDescent="0.25">
      <c r="A488" t="s">
        <v>1855</v>
      </c>
      <c r="B488">
        <v>1</v>
      </c>
      <c r="C488" t="s">
        <v>198</v>
      </c>
      <c r="D488" t="s">
        <v>1856</v>
      </c>
      <c r="E488" t="s">
        <v>1856</v>
      </c>
    </row>
    <row r="489" spans="1:5" x14ac:dyDescent="0.25">
      <c r="A489" t="s">
        <v>1857</v>
      </c>
      <c r="B489">
        <v>1</v>
      </c>
      <c r="C489" t="s">
        <v>186</v>
      </c>
      <c r="D489" t="s">
        <v>1858</v>
      </c>
      <c r="E489" t="s">
        <v>1858</v>
      </c>
    </row>
    <row r="490" spans="1:5" x14ac:dyDescent="0.25">
      <c r="A490" t="s">
        <v>1859</v>
      </c>
      <c r="B490">
        <v>1</v>
      </c>
      <c r="C490" t="s">
        <v>198</v>
      </c>
      <c r="D490" t="s">
        <v>1860</v>
      </c>
      <c r="E490" t="s">
        <v>1860</v>
      </c>
    </row>
    <row r="491" spans="1:5" x14ac:dyDescent="0.25">
      <c r="A491" t="s">
        <v>1861</v>
      </c>
      <c r="B491">
        <v>1</v>
      </c>
      <c r="C491" t="s">
        <v>198</v>
      </c>
      <c r="D491" t="s">
        <v>1862</v>
      </c>
      <c r="E491" t="s">
        <v>1862</v>
      </c>
    </row>
    <row r="492" spans="1:5" x14ac:dyDescent="0.25">
      <c r="A492" t="s">
        <v>1863</v>
      </c>
      <c r="B492">
        <v>1</v>
      </c>
      <c r="C492" t="s">
        <v>198</v>
      </c>
      <c r="D492" t="s">
        <v>1864</v>
      </c>
      <c r="E492" t="s">
        <v>1864</v>
      </c>
    </row>
    <row r="493" spans="1:5" x14ac:dyDescent="0.25">
      <c r="A493" t="s">
        <v>1865</v>
      </c>
      <c r="B493">
        <v>1</v>
      </c>
      <c r="C493" t="s">
        <v>198</v>
      </c>
      <c r="D493" t="s">
        <v>1866</v>
      </c>
      <c r="E493" t="s">
        <v>1866</v>
      </c>
    </row>
    <row r="494" spans="1:5" x14ac:dyDescent="0.25">
      <c r="A494" t="s">
        <v>1867</v>
      </c>
      <c r="B494">
        <v>1</v>
      </c>
      <c r="C494" t="s">
        <v>198</v>
      </c>
      <c r="D494" t="s">
        <v>1868</v>
      </c>
      <c r="E494" t="s">
        <v>1868</v>
      </c>
    </row>
    <row r="495" spans="1:5" x14ac:dyDescent="0.25">
      <c r="A495" t="s">
        <v>1869</v>
      </c>
      <c r="B495">
        <v>1</v>
      </c>
      <c r="C495" t="s">
        <v>198</v>
      </c>
      <c r="D495" t="s">
        <v>1870</v>
      </c>
      <c r="E495" t="s">
        <v>1870</v>
      </c>
    </row>
    <row r="496" spans="1:5" x14ac:dyDescent="0.25">
      <c r="A496" t="s">
        <v>330</v>
      </c>
      <c r="B496">
        <v>1</v>
      </c>
      <c r="C496" t="s">
        <v>198</v>
      </c>
      <c r="D496" t="s">
        <v>1871</v>
      </c>
      <c r="E496" t="s">
        <v>1871</v>
      </c>
    </row>
    <row r="497" spans="1:5" x14ac:dyDescent="0.25">
      <c r="A497" t="s">
        <v>335</v>
      </c>
      <c r="B497">
        <v>1</v>
      </c>
      <c r="C497" t="s">
        <v>198</v>
      </c>
      <c r="D497" t="s">
        <v>1872</v>
      </c>
      <c r="E497" t="s">
        <v>1872</v>
      </c>
    </row>
    <row r="498" spans="1:5" x14ac:dyDescent="0.25">
      <c r="A498" t="s">
        <v>1873</v>
      </c>
      <c r="B498">
        <v>1</v>
      </c>
      <c r="C498" t="s">
        <v>186</v>
      </c>
      <c r="D498" t="s">
        <v>1874</v>
      </c>
      <c r="E498" t="s">
        <v>1874</v>
      </c>
    </row>
    <row r="499" spans="1:5" x14ac:dyDescent="0.25">
      <c r="A499" t="s">
        <v>1875</v>
      </c>
      <c r="B499">
        <v>1</v>
      </c>
      <c r="C499" t="s">
        <v>198</v>
      </c>
      <c r="D499" t="s">
        <v>1876</v>
      </c>
      <c r="E499" t="s">
        <v>1876</v>
      </c>
    </row>
    <row r="500" spans="1:5" x14ac:dyDescent="0.25">
      <c r="A500" t="s">
        <v>1877</v>
      </c>
      <c r="B500">
        <v>1</v>
      </c>
      <c r="C500" t="s">
        <v>198</v>
      </c>
      <c r="D500" t="s">
        <v>1878</v>
      </c>
      <c r="E500" t="s">
        <v>1878</v>
      </c>
    </row>
    <row r="501" spans="1:5" x14ac:dyDescent="0.25">
      <c r="A501" t="s">
        <v>1879</v>
      </c>
      <c r="B501">
        <v>1</v>
      </c>
      <c r="C501" t="s">
        <v>186</v>
      </c>
      <c r="D501" t="s">
        <v>1880</v>
      </c>
      <c r="E501" t="s">
        <v>1880</v>
      </c>
    </row>
    <row r="502" spans="1:5" x14ac:dyDescent="0.25">
      <c r="A502" t="s">
        <v>1881</v>
      </c>
      <c r="B502">
        <v>1</v>
      </c>
      <c r="C502" t="s">
        <v>198</v>
      </c>
      <c r="D502" t="s">
        <v>1882</v>
      </c>
      <c r="E502" t="s">
        <v>1882</v>
      </c>
    </row>
    <row r="503" spans="1:5" x14ac:dyDescent="0.25">
      <c r="A503" t="s">
        <v>318</v>
      </c>
      <c r="B503">
        <v>1</v>
      </c>
      <c r="C503" t="s">
        <v>198</v>
      </c>
      <c r="D503" t="s">
        <v>1883</v>
      </c>
      <c r="E503" t="s">
        <v>1883</v>
      </c>
    </row>
    <row r="504" spans="1:5" x14ac:dyDescent="0.25">
      <c r="A504" t="s">
        <v>1884</v>
      </c>
      <c r="B504">
        <v>1</v>
      </c>
      <c r="C504" t="s">
        <v>198</v>
      </c>
      <c r="D504" t="s">
        <v>1885</v>
      </c>
      <c r="E504" t="s">
        <v>1885</v>
      </c>
    </row>
    <row r="505" spans="1:5" x14ac:dyDescent="0.25">
      <c r="A505" t="s">
        <v>321</v>
      </c>
      <c r="B505">
        <v>1</v>
      </c>
      <c r="C505" t="s">
        <v>198</v>
      </c>
      <c r="D505" t="s">
        <v>1886</v>
      </c>
      <c r="E505" t="s">
        <v>1886</v>
      </c>
    </row>
    <row r="506" spans="1:5" x14ac:dyDescent="0.25">
      <c r="A506" t="s">
        <v>1887</v>
      </c>
      <c r="B506">
        <v>1</v>
      </c>
      <c r="C506" t="s">
        <v>198</v>
      </c>
      <c r="D506" t="s">
        <v>1888</v>
      </c>
      <c r="E506" t="s">
        <v>1888</v>
      </c>
    </row>
    <row r="507" spans="1:5" x14ac:dyDescent="0.25">
      <c r="A507" t="s">
        <v>307</v>
      </c>
      <c r="B507">
        <v>1</v>
      </c>
      <c r="C507" t="s">
        <v>198</v>
      </c>
      <c r="D507" t="s">
        <v>1889</v>
      </c>
      <c r="E507" t="s">
        <v>1889</v>
      </c>
    </row>
    <row r="508" spans="1:5" x14ac:dyDescent="0.25">
      <c r="A508" t="s">
        <v>1890</v>
      </c>
      <c r="B508">
        <v>1</v>
      </c>
      <c r="C508" t="s">
        <v>186</v>
      </c>
      <c r="D508" t="s">
        <v>1891</v>
      </c>
      <c r="E508" t="s">
        <v>1891</v>
      </c>
    </row>
    <row r="509" spans="1:5" x14ac:dyDescent="0.25">
      <c r="A509" t="s">
        <v>332</v>
      </c>
      <c r="B509">
        <v>1</v>
      </c>
      <c r="C509" t="s">
        <v>198</v>
      </c>
      <c r="D509" t="s">
        <v>1892</v>
      </c>
      <c r="E509" t="s">
        <v>1892</v>
      </c>
    </row>
    <row r="510" spans="1:5" x14ac:dyDescent="0.25">
      <c r="A510" t="s">
        <v>1893</v>
      </c>
      <c r="B510">
        <v>1</v>
      </c>
      <c r="C510" t="s">
        <v>198</v>
      </c>
      <c r="D510" t="s">
        <v>1894</v>
      </c>
      <c r="E510" t="s">
        <v>1894</v>
      </c>
    </row>
    <row r="511" spans="1:5" x14ac:dyDescent="0.25">
      <c r="A511" t="s">
        <v>1895</v>
      </c>
      <c r="B511">
        <v>1</v>
      </c>
      <c r="C511" t="s">
        <v>198</v>
      </c>
      <c r="D511" t="s">
        <v>1896</v>
      </c>
      <c r="E511" t="s">
        <v>1896</v>
      </c>
    </row>
    <row r="512" spans="1:5" x14ac:dyDescent="0.25">
      <c r="A512" t="s">
        <v>435</v>
      </c>
      <c r="B512">
        <v>1</v>
      </c>
      <c r="C512" t="s">
        <v>198</v>
      </c>
      <c r="D512" t="s">
        <v>1897</v>
      </c>
      <c r="E512" t="s">
        <v>1897</v>
      </c>
    </row>
    <row r="513" spans="1:5" x14ac:dyDescent="0.25">
      <c r="A513" t="s">
        <v>413</v>
      </c>
      <c r="B513">
        <v>1</v>
      </c>
      <c r="C513" t="s">
        <v>198</v>
      </c>
      <c r="D513" t="s">
        <v>1898</v>
      </c>
      <c r="E513" t="s">
        <v>1898</v>
      </c>
    </row>
    <row r="514" spans="1:5" x14ac:dyDescent="0.25">
      <c r="A514" t="s">
        <v>575</v>
      </c>
      <c r="B514">
        <v>1</v>
      </c>
      <c r="C514" t="s">
        <v>198</v>
      </c>
      <c r="D514" t="s">
        <v>1899</v>
      </c>
      <c r="E514" t="s">
        <v>1899</v>
      </c>
    </row>
    <row r="515" spans="1:5" x14ac:dyDescent="0.25">
      <c r="A515" t="s">
        <v>562</v>
      </c>
      <c r="B515">
        <v>1</v>
      </c>
      <c r="C515" t="s">
        <v>198</v>
      </c>
      <c r="D515" t="s">
        <v>1900</v>
      </c>
      <c r="E515" t="s">
        <v>1900</v>
      </c>
    </row>
    <row r="516" spans="1:5" x14ac:dyDescent="0.25">
      <c r="A516" t="s">
        <v>571</v>
      </c>
      <c r="B516">
        <v>1</v>
      </c>
      <c r="C516" t="s">
        <v>198</v>
      </c>
      <c r="D516" t="s">
        <v>1901</v>
      </c>
      <c r="E516" t="s">
        <v>1901</v>
      </c>
    </row>
    <row r="517" spans="1:5" x14ac:dyDescent="0.25">
      <c r="A517" t="s">
        <v>323</v>
      </c>
      <c r="B517">
        <v>1</v>
      </c>
      <c r="C517" t="s">
        <v>198</v>
      </c>
      <c r="D517" t="s">
        <v>1902</v>
      </c>
      <c r="E517" t="s">
        <v>1902</v>
      </c>
    </row>
    <row r="518" spans="1:5" x14ac:dyDescent="0.25">
      <c r="A518" t="s">
        <v>1903</v>
      </c>
      <c r="B518">
        <v>1</v>
      </c>
      <c r="C518" t="s">
        <v>198</v>
      </c>
      <c r="D518" t="s">
        <v>1904</v>
      </c>
      <c r="E518" t="s">
        <v>1904</v>
      </c>
    </row>
    <row r="519" spans="1:5" x14ac:dyDescent="0.25">
      <c r="A519" t="s">
        <v>1905</v>
      </c>
      <c r="B519">
        <v>1</v>
      </c>
      <c r="C519" t="s">
        <v>198</v>
      </c>
      <c r="D519" t="s">
        <v>1906</v>
      </c>
      <c r="E519" t="s">
        <v>1906</v>
      </c>
    </row>
    <row r="520" spans="1:5" x14ac:dyDescent="0.25">
      <c r="A520" t="s">
        <v>596</v>
      </c>
      <c r="B520">
        <v>1</v>
      </c>
      <c r="C520" t="s">
        <v>198</v>
      </c>
      <c r="D520" t="s">
        <v>1907</v>
      </c>
      <c r="E520" t="s">
        <v>1907</v>
      </c>
    </row>
    <row r="521" spans="1:5" x14ac:dyDescent="0.25">
      <c r="A521" t="s">
        <v>1908</v>
      </c>
      <c r="B521">
        <v>1</v>
      </c>
      <c r="C521" t="s">
        <v>198</v>
      </c>
      <c r="D521" t="s">
        <v>1909</v>
      </c>
      <c r="E521" t="s">
        <v>1909</v>
      </c>
    </row>
    <row r="522" spans="1:5" x14ac:dyDescent="0.25">
      <c r="A522" t="s">
        <v>1910</v>
      </c>
      <c r="B522">
        <v>1</v>
      </c>
      <c r="C522" t="s">
        <v>198</v>
      </c>
      <c r="D522" t="s">
        <v>1911</v>
      </c>
      <c r="E522" t="s">
        <v>1911</v>
      </c>
    </row>
    <row r="523" spans="1:5" x14ac:dyDescent="0.25">
      <c r="A523" t="s">
        <v>1912</v>
      </c>
      <c r="B523">
        <v>1</v>
      </c>
      <c r="C523" t="s">
        <v>198</v>
      </c>
      <c r="D523" t="s">
        <v>1913</v>
      </c>
      <c r="E523" t="s">
        <v>1913</v>
      </c>
    </row>
    <row r="524" spans="1:5" x14ac:dyDescent="0.25">
      <c r="A524" t="s">
        <v>1914</v>
      </c>
      <c r="B524">
        <v>1</v>
      </c>
      <c r="C524" t="s">
        <v>198</v>
      </c>
      <c r="D524" t="s">
        <v>1915</v>
      </c>
      <c r="E524" t="s">
        <v>1915</v>
      </c>
    </row>
    <row r="525" spans="1:5" x14ac:dyDescent="0.25">
      <c r="A525" t="s">
        <v>1916</v>
      </c>
      <c r="B525">
        <v>1</v>
      </c>
      <c r="C525" t="s">
        <v>198</v>
      </c>
      <c r="D525" t="s">
        <v>1917</v>
      </c>
      <c r="E525" t="s">
        <v>1917</v>
      </c>
    </row>
    <row r="526" spans="1:5" x14ac:dyDescent="0.25">
      <c r="A526" t="s">
        <v>1918</v>
      </c>
      <c r="B526">
        <v>1</v>
      </c>
      <c r="C526" t="s">
        <v>198</v>
      </c>
      <c r="D526" t="s">
        <v>1919</v>
      </c>
      <c r="E526" t="s">
        <v>1919</v>
      </c>
    </row>
    <row r="527" spans="1:5" x14ac:dyDescent="0.25">
      <c r="A527" t="s">
        <v>1920</v>
      </c>
      <c r="B527">
        <v>1</v>
      </c>
      <c r="C527" t="s">
        <v>198</v>
      </c>
      <c r="D527" t="s">
        <v>1921</v>
      </c>
      <c r="E527" t="s">
        <v>1921</v>
      </c>
    </row>
    <row r="528" spans="1:5" x14ac:dyDescent="0.25">
      <c r="A528" t="s">
        <v>626</v>
      </c>
      <c r="B528">
        <v>1</v>
      </c>
      <c r="C528" t="s">
        <v>198</v>
      </c>
      <c r="D528" t="s">
        <v>1922</v>
      </c>
      <c r="E528" t="s">
        <v>1922</v>
      </c>
    </row>
    <row r="529" spans="1:5" x14ac:dyDescent="0.25">
      <c r="A529" t="s">
        <v>696</v>
      </c>
      <c r="B529">
        <v>1</v>
      </c>
      <c r="C529" t="s">
        <v>198</v>
      </c>
      <c r="D529" t="s">
        <v>1923</v>
      </c>
      <c r="E529" t="s">
        <v>1923</v>
      </c>
    </row>
    <row r="530" spans="1:5" x14ac:dyDescent="0.25">
      <c r="A530" t="s">
        <v>1924</v>
      </c>
      <c r="B530">
        <v>1</v>
      </c>
      <c r="C530" t="s">
        <v>198</v>
      </c>
      <c r="D530" t="s">
        <v>1925</v>
      </c>
      <c r="E530" t="s">
        <v>1925</v>
      </c>
    </row>
    <row r="531" spans="1:5" x14ac:dyDescent="0.25">
      <c r="A531" t="s">
        <v>415</v>
      </c>
      <c r="B531">
        <v>1</v>
      </c>
      <c r="C531" t="s">
        <v>198</v>
      </c>
      <c r="D531" t="s">
        <v>1926</v>
      </c>
      <c r="E531" t="s">
        <v>1926</v>
      </c>
    </row>
    <row r="532" spans="1:5" x14ac:dyDescent="0.25">
      <c r="A532" t="s">
        <v>1927</v>
      </c>
      <c r="B532">
        <v>1</v>
      </c>
      <c r="C532" t="s">
        <v>186</v>
      </c>
      <c r="D532" t="s">
        <v>1928</v>
      </c>
      <c r="E532" t="s">
        <v>1928</v>
      </c>
    </row>
    <row r="533" spans="1:5" x14ac:dyDescent="0.25">
      <c r="A533" t="s">
        <v>1929</v>
      </c>
      <c r="B533">
        <v>1</v>
      </c>
      <c r="C533" t="s">
        <v>198</v>
      </c>
      <c r="D533" t="s">
        <v>1930</v>
      </c>
      <c r="E533" t="s">
        <v>1930</v>
      </c>
    </row>
    <row r="534" spans="1:5" x14ac:dyDescent="0.25">
      <c r="A534" t="s">
        <v>1931</v>
      </c>
      <c r="B534">
        <v>1</v>
      </c>
      <c r="C534" t="s">
        <v>198</v>
      </c>
      <c r="D534" t="s">
        <v>1932</v>
      </c>
      <c r="E534" t="s">
        <v>1932</v>
      </c>
    </row>
    <row r="535" spans="1:5" x14ac:dyDescent="0.25">
      <c r="A535" t="s">
        <v>1933</v>
      </c>
      <c r="B535">
        <v>1</v>
      </c>
      <c r="C535" t="s">
        <v>198</v>
      </c>
      <c r="D535" t="s">
        <v>1934</v>
      </c>
      <c r="E535" t="s">
        <v>1934</v>
      </c>
    </row>
    <row r="536" spans="1:5" x14ac:dyDescent="0.25">
      <c r="A536" t="s">
        <v>1935</v>
      </c>
      <c r="B536">
        <v>1</v>
      </c>
      <c r="C536" t="s">
        <v>198</v>
      </c>
      <c r="D536" t="s">
        <v>1936</v>
      </c>
      <c r="E536" t="s">
        <v>1936</v>
      </c>
    </row>
    <row r="537" spans="1:5" x14ac:dyDescent="0.25">
      <c r="A537" t="s">
        <v>1937</v>
      </c>
      <c r="B537">
        <v>1</v>
      </c>
      <c r="C537" t="s">
        <v>198</v>
      </c>
      <c r="D537" t="s">
        <v>1938</v>
      </c>
      <c r="E537" t="s">
        <v>1938</v>
      </c>
    </row>
    <row r="538" spans="1:5" x14ac:dyDescent="0.25">
      <c r="A538" t="s">
        <v>668</v>
      </c>
      <c r="B538">
        <v>1</v>
      </c>
      <c r="C538" t="s">
        <v>198</v>
      </c>
      <c r="D538" t="s">
        <v>1939</v>
      </c>
      <c r="E538" t="s">
        <v>1939</v>
      </c>
    </row>
    <row r="539" spans="1:5" x14ac:dyDescent="0.25">
      <c r="A539" t="s">
        <v>656</v>
      </c>
      <c r="B539">
        <v>1</v>
      </c>
      <c r="C539" t="s">
        <v>198</v>
      </c>
      <c r="D539" t="s">
        <v>1940</v>
      </c>
      <c r="E539" t="s">
        <v>1940</v>
      </c>
    </row>
    <row r="540" spans="1:5" x14ac:dyDescent="0.25">
      <c r="A540" t="s">
        <v>666</v>
      </c>
      <c r="B540">
        <v>1</v>
      </c>
      <c r="C540" t="s">
        <v>198</v>
      </c>
      <c r="D540" t="s">
        <v>1941</v>
      </c>
      <c r="E540" t="s">
        <v>1941</v>
      </c>
    </row>
    <row r="541" spans="1:5" x14ac:dyDescent="0.25">
      <c r="A541" t="s">
        <v>1942</v>
      </c>
      <c r="B541">
        <v>1</v>
      </c>
      <c r="C541" t="s">
        <v>198</v>
      </c>
      <c r="D541" t="s">
        <v>1943</v>
      </c>
      <c r="E541" t="s">
        <v>1943</v>
      </c>
    </row>
    <row r="542" spans="1:5" x14ac:dyDescent="0.25">
      <c r="A542" t="s">
        <v>1944</v>
      </c>
      <c r="B542">
        <v>1</v>
      </c>
      <c r="C542" t="s">
        <v>198</v>
      </c>
      <c r="D542" t="s">
        <v>1945</v>
      </c>
      <c r="E542" t="s">
        <v>1945</v>
      </c>
    </row>
    <row r="543" spans="1:5" x14ac:dyDescent="0.25">
      <c r="A543" t="s">
        <v>759</v>
      </c>
      <c r="B543">
        <v>1</v>
      </c>
      <c r="C543" t="s">
        <v>186</v>
      </c>
      <c r="D543" t="s">
        <v>1946</v>
      </c>
      <c r="E543" t="s">
        <v>1946</v>
      </c>
    </row>
    <row r="544" spans="1:5" x14ac:dyDescent="0.25">
      <c r="A544" t="s">
        <v>775</v>
      </c>
      <c r="B544">
        <v>1</v>
      </c>
      <c r="C544" t="s">
        <v>198</v>
      </c>
      <c r="D544" t="s">
        <v>1947</v>
      </c>
      <c r="E544" t="s">
        <v>1947</v>
      </c>
    </row>
    <row r="545" spans="1:5" x14ac:dyDescent="0.25">
      <c r="A545" t="s">
        <v>749</v>
      </c>
      <c r="B545">
        <v>1</v>
      </c>
      <c r="C545" t="s">
        <v>198</v>
      </c>
      <c r="D545" t="s">
        <v>1948</v>
      </c>
      <c r="E545" t="s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Sheet1</vt:lpstr>
      <vt:lpstr>Drone details</vt:lpstr>
      <vt:lpstr>Customer details</vt:lpstr>
      <vt:lpstr>Dashboard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Ronak Devadiga</cp:lastModifiedBy>
  <cp:revision/>
  <dcterms:created xsi:type="dcterms:W3CDTF">2026-05-07T06:05:56Z</dcterms:created>
  <dcterms:modified xsi:type="dcterms:W3CDTF">2026-05-13T05:50:02Z</dcterms:modified>
  <cp:category/>
  <cp:contentStatus/>
</cp:coreProperties>
</file>