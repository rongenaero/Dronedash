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nak\Desktop\Drone Dashboard\"/>
    </mc:Choice>
  </mc:AlternateContent>
  <xr:revisionPtr revIDLastSave="0" documentId="13_ncr:1_{FD4DC365-040B-44AA-86CF-75B8EE42EAD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ustomers" sheetId="1" state="hidden" r:id="rId1"/>
    <sheet name="Sheet1" sheetId="2" state="hidden" r:id="rId2"/>
    <sheet name="Drone details" sheetId="3" r:id="rId3"/>
    <sheet name="Customer details" sheetId="6" r:id="rId4"/>
    <sheet name="Dashboard" sheetId="5" r:id="rId5"/>
    <sheet name="Sheet3" sheetId="4" state="hidden" r:id="rId6"/>
  </sheets>
  <definedNames>
    <definedName name="_xlnm._FilterDatabase" localSheetId="2" hidden="1">'Drone details'!$A$1:$N$447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I7" i="5" a="1"/>
  <c r="I7" i="5"/>
  <c r="I6" i="5"/>
  <c r="M447" i="3"/>
  <c r="L447" i="3"/>
  <c r="K447" i="3"/>
  <c r="J447" i="3"/>
  <c r="M446" i="3"/>
  <c r="L446" i="3"/>
  <c r="K446" i="3"/>
  <c r="J446" i="3"/>
  <c r="M445" i="3"/>
  <c r="L445" i="3"/>
  <c r="K445" i="3"/>
  <c r="J445" i="3"/>
  <c r="M444" i="3"/>
  <c r="L444" i="3"/>
  <c r="K444" i="3"/>
  <c r="J444" i="3"/>
  <c r="M443" i="3"/>
  <c r="L443" i="3"/>
  <c r="K443" i="3"/>
  <c r="J443" i="3"/>
  <c r="M442" i="3"/>
  <c r="L442" i="3"/>
  <c r="K442" i="3"/>
  <c r="J442" i="3"/>
  <c r="M441" i="3"/>
  <c r="L441" i="3"/>
  <c r="K441" i="3"/>
  <c r="J441" i="3"/>
  <c r="M440" i="3"/>
  <c r="L440" i="3"/>
  <c r="K440" i="3"/>
  <c r="J440" i="3"/>
  <c r="M439" i="3"/>
  <c r="L439" i="3"/>
  <c r="K439" i="3"/>
  <c r="J439" i="3"/>
  <c r="M438" i="3"/>
  <c r="L438" i="3"/>
  <c r="K438" i="3"/>
  <c r="J438" i="3"/>
  <c r="M437" i="3"/>
  <c r="L437" i="3"/>
  <c r="K437" i="3"/>
  <c r="J437" i="3"/>
  <c r="M436" i="3"/>
  <c r="L436" i="3"/>
  <c r="K436" i="3"/>
  <c r="J436" i="3"/>
  <c r="M435" i="3"/>
  <c r="L435" i="3"/>
  <c r="K435" i="3"/>
  <c r="J435" i="3"/>
  <c r="M434" i="3"/>
  <c r="L434" i="3"/>
  <c r="K434" i="3"/>
  <c r="J434" i="3"/>
  <c r="M433" i="3"/>
  <c r="L433" i="3"/>
  <c r="K433" i="3"/>
  <c r="J433" i="3"/>
  <c r="M432" i="3"/>
  <c r="L432" i="3"/>
  <c r="K432" i="3"/>
  <c r="J432" i="3"/>
  <c r="M431" i="3"/>
  <c r="L431" i="3"/>
  <c r="K431" i="3"/>
  <c r="J431" i="3"/>
  <c r="M430" i="3"/>
  <c r="L430" i="3"/>
  <c r="K430" i="3"/>
  <c r="J430" i="3"/>
  <c r="M429" i="3"/>
  <c r="L429" i="3"/>
  <c r="K429" i="3"/>
  <c r="J429" i="3"/>
  <c r="M428" i="3"/>
  <c r="L428" i="3"/>
  <c r="K428" i="3"/>
  <c r="J428" i="3"/>
  <c r="M427" i="3"/>
  <c r="L427" i="3"/>
  <c r="K427" i="3"/>
  <c r="J427" i="3"/>
  <c r="M426" i="3"/>
  <c r="L426" i="3"/>
  <c r="K426" i="3"/>
  <c r="J426" i="3"/>
  <c r="M425" i="3"/>
  <c r="L425" i="3"/>
  <c r="K425" i="3"/>
  <c r="J425" i="3"/>
  <c r="M424" i="3"/>
  <c r="L424" i="3"/>
  <c r="K424" i="3"/>
  <c r="J424" i="3"/>
  <c r="M423" i="3"/>
  <c r="L423" i="3"/>
  <c r="K423" i="3"/>
  <c r="J423" i="3"/>
  <c r="M422" i="3"/>
  <c r="L422" i="3"/>
  <c r="K422" i="3"/>
  <c r="J422" i="3"/>
  <c r="M421" i="3"/>
  <c r="L421" i="3"/>
  <c r="K421" i="3"/>
  <c r="J421" i="3"/>
  <c r="M420" i="3"/>
  <c r="L420" i="3"/>
  <c r="K420" i="3"/>
  <c r="J420" i="3"/>
  <c r="M419" i="3"/>
  <c r="L419" i="3"/>
  <c r="K419" i="3"/>
  <c r="J419" i="3"/>
  <c r="M418" i="3"/>
  <c r="L418" i="3"/>
  <c r="K418" i="3"/>
  <c r="J418" i="3"/>
  <c r="M417" i="3"/>
  <c r="L417" i="3"/>
  <c r="K417" i="3"/>
  <c r="J417" i="3"/>
  <c r="M416" i="3"/>
  <c r="L416" i="3"/>
  <c r="K416" i="3"/>
  <c r="J416" i="3"/>
  <c r="M415" i="3"/>
  <c r="L415" i="3"/>
  <c r="K415" i="3"/>
  <c r="J415" i="3"/>
  <c r="M414" i="3"/>
  <c r="L414" i="3"/>
  <c r="K414" i="3"/>
  <c r="J414" i="3"/>
  <c r="M413" i="3"/>
  <c r="L413" i="3"/>
  <c r="K413" i="3"/>
  <c r="J413" i="3"/>
  <c r="M412" i="3"/>
  <c r="L412" i="3"/>
  <c r="K412" i="3"/>
  <c r="J412" i="3"/>
  <c r="M411" i="3"/>
  <c r="L411" i="3"/>
  <c r="K411" i="3"/>
  <c r="J411" i="3"/>
  <c r="M410" i="3"/>
  <c r="L410" i="3"/>
  <c r="K410" i="3"/>
  <c r="J410" i="3"/>
  <c r="M409" i="3"/>
  <c r="L409" i="3"/>
  <c r="K409" i="3"/>
  <c r="J409" i="3"/>
  <c r="M408" i="3"/>
  <c r="L408" i="3"/>
  <c r="K408" i="3"/>
  <c r="J408" i="3"/>
  <c r="M407" i="3"/>
  <c r="L407" i="3"/>
  <c r="K407" i="3"/>
  <c r="J407" i="3"/>
  <c r="M406" i="3"/>
  <c r="L406" i="3"/>
  <c r="K406" i="3"/>
  <c r="J406" i="3"/>
  <c r="M405" i="3"/>
  <c r="L405" i="3"/>
  <c r="K405" i="3"/>
  <c r="J405" i="3"/>
  <c r="M404" i="3"/>
  <c r="L404" i="3"/>
  <c r="K404" i="3"/>
  <c r="J404" i="3"/>
  <c r="M403" i="3"/>
  <c r="L403" i="3"/>
  <c r="K403" i="3"/>
  <c r="J403" i="3"/>
  <c r="M402" i="3"/>
  <c r="L402" i="3"/>
  <c r="K402" i="3"/>
  <c r="J402" i="3"/>
  <c r="M401" i="3"/>
  <c r="L401" i="3"/>
  <c r="K401" i="3"/>
  <c r="J401" i="3"/>
  <c r="M400" i="3"/>
  <c r="L400" i="3"/>
  <c r="K400" i="3"/>
  <c r="J400" i="3"/>
  <c r="M399" i="3"/>
  <c r="L399" i="3"/>
  <c r="K399" i="3"/>
  <c r="J399" i="3"/>
  <c r="M398" i="3"/>
  <c r="L398" i="3"/>
  <c r="K398" i="3"/>
  <c r="J398" i="3"/>
  <c r="M397" i="3"/>
  <c r="L397" i="3"/>
  <c r="K397" i="3"/>
  <c r="J397" i="3"/>
  <c r="M396" i="3"/>
  <c r="L396" i="3"/>
  <c r="K396" i="3"/>
  <c r="J396" i="3"/>
  <c r="M395" i="3"/>
  <c r="L395" i="3"/>
  <c r="K395" i="3"/>
  <c r="J395" i="3"/>
  <c r="M394" i="3"/>
  <c r="L394" i="3"/>
  <c r="K394" i="3"/>
  <c r="J394" i="3"/>
  <c r="M393" i="3"/>
  <c r="L393" i="3"/>
  <c r="K393" i="3"/>
  <c r="J393" i="3"/>
  <c r="M392" i="3"/>
  <c r="L392" i="3"/>
  <c r="K392" i="3"/>
  <c r="J392" i="3"/>
  <c r="M391" i="3"/>
  <c r="L391" i="3"/>
  <c r="K391" i="3"/>
  <c r="J391" i="3"/>
  <c r="M390" i="3"/>
  <c r="L390" i="3"/>
  <c r="K390" i="3"/>
  <c r="J390" i="3"/>
  <c r="M389" i="3"/>
  <c r="L389" i="3"/>
  <c r="K389" i="3"/>
  <c r="J389" i="3"/>
  <c r="M388" i="3"/>
  <c r="L388" i="3"/>
  <c r="K388" i="3"/>
  <c r="J388" i="3"/>
  <c r="M387" i="3"/>
  <c r="L387" i="3"/>
  <c r="K387" i="3"/>
  <c r="J387" i="3"/>
  <c r="M386" i="3"/>
  <c r="L386" i="3"/>
  <c r="K386" i="3"/>
  <c r="J386" i="3"/>
  <c r="M385" i="3"/>
  <c r="L385" i="3"/>
  <c r="K385" i="3"/>
  <c r="J385" i="3"/>
  <c r="M384" i="3"/>
  <c r="L384" i="3"/>
  <c r="K384" i="3"/>
  <c r="J384" i="3"/>
  <c r="M383" i="3"/>
  <c r="L383" i="3"/>
  <c r="K383" i="3"/>
  <c r="J383" i="3"/>
  <c r="M382" i="3"/>
  <c r="L382" i="3"/>
  <c r="K382" i="3"/>
  <c r="J382" i="3"/>
  <c r="M381" i="3"/>
  <c r="L381" i="3"/>
  <c r="K381" i="3"/>
  <c r="J381" i="3"/>
  <c r="M380" i="3"/>
  <c r="L380" i="3"/>
  <c r="K380" i="3"/>
  <c r="J380" i="3"/>
  <c r="M379" i="3"/>
  <c r="L379" i="3"/>
  <c r="K379" i="3"/>
  <c r="J379" i="3"/>
  <c r="M378" i="3"/>
  <c r="L378" i="3"/>
  <c r="K378" i="3"/>
  <c r="J378" i="3"/>
  <c r="M377" i="3"/>
  <c r="L377" i="3"/>
  <c r="K377" i="3"/>
  <c r="J377" i="3"/>
  <c r="M376" i="3"/>
  <c r="L376" i="3"/>
  <c r="K376" i="3"/>
  <c r="J376" i="3"/>
  <c r="M375" i="3"/>
  <c r="L375" i="3"/>
  <c r="K375" i="3"/>
  <c r="J375" i="3"/>
  <c r="M374" i="3"/>
  <c r="L374" i="3"/>
  <c r="K374" i="3"/>
  <c r="J374" i="3"/>
  <c r="M373" i="3"/>
  <c r="L373" i="3"/>
  <c r="K373" i="3"/>
  <c r="J373" i="3"/>
  <c r="M372" i="3"/>
  <c r="L372" i="3"/>
  <c r="K372" i="3"/>
  <c r="J372" i="3"/>
  <c r="M371" i="3"/>
  <c r="L371" i="3"/>
  <c r="K371" i="3"/>
  <c r="J371" i="3"/>
  <c r="M370" i="3"/>
  <c r="L370" i="3"/>
  <c r="K370" i="3"/>
  <c r="J370" i="3"/>
  <c r="M369" i="3"/>
  <c r="L369" i="3"/>
  <c r="K369" i="3"/>
  <c r="J369" i="3"/>
  <c r="M368" i="3"/>
  <c r="L368" i="3"/>
  <c r="K368" i="3"/>
  <c r="J368" i="3"/>
  <c r="M367" i="3"/>
  <c r="L367" i="3"/>
  <c r="K367" i="3"/>
  <c r="J367" i="3"/>
  <c r="M366" i="3"/>
  <c r="L366" i="3"/>
  <c r="K366" i="3"/>
  <c r="J366" i="3"/>
  <c r="M365" i="3"/>
  <c r="L365" i="3"/>
  <c r="K365" i="3"/>
  <c r="J365" i="3"/>
  <c r="M364" i="3"/>
  <c r="L364" i="3"/>
  <c r="K364" i="3"/>
  <c r="J364" i="3"/>
  <c r="M363" i="3"/>
  <c r="L363" i="3"/>
  <c r="K363" i="3"/>
  <c r="J363" i="3"/>
  <c r="M362" i="3"/>
  <c r="L362" i="3"/>
  <c r="K362" i="3"/>
  <c r="J362" i="3"/>
  <c r="M361" i="3"/>
  <c r="L361" i="3"/>
  <c r="K361" i="3"/>
  <c r="J361" i="3"/>
  <c r="M360" i="3"/>
  <c r="L360" i="3"/>
  <c r="K360" i="3"/>
  <c r="J360" i="3"/>
  <c r="M359" i="3"/>
  <c r="L359" i="3"/>
  <c r="K359" i="3"/>
  <c r="J359" i="3"/>
  <c r="M358" i="3"/>
  <c r="L358" i="3"/>
  <c r="K358" i="3"/>
  <c r="J358" i="3"/>
  <c r="M357" i="3"/>
  <c r="L357" i="3"/>
  <c r="K357" i="3"/>
  <c r="J357" i="3"/>
  <c r="M356" i="3"/>
  <c r="L356" i="3"/>
  <c r="K356" i="3"/>
  <c r="J356" i="3"/>
  <c r="M355" i="3"/>
  <c r="L355" i="3"/>
  <c r="K355" i="3"/>
  <c r="J355" i="3"/>
  <c r="M354" i="3"/>
  <c r="L354" i="3"/>
  <c r="K354" i="3"/>
  <c r="J354" i="3"/>
  <c r="M353" i="3"/>
  <c r="L353" i="3"/>
  <c r="K353" i="3"/>
  <c r="J353" i="3"/>
  <c r="M352" i="3"/>
  <c r="L352" i="3"/>
  <c r="K352" i="3"/>
  <c r="J352" i="3"/>
  <c r="M351" i="3"/>
  <c r="L351" i="3"/>
  <c r="K351" i="3"/>
  <c r="J351" i="3"/>
  <c r="M350" i="3"/>
  <c r="L350" i="3"/>
  <c r="K350" i="3"/>
  <c r="J350" i="3"/>
  <c r="M349" i="3"/>
  <c r="L349" i="3"/>
  <c r="K349" i="3"/>
  <c r="J349" i="3"/>
  <c r="M348" i="3"/>
  <c r="L348" i="3"/>
  <c r="K348" i="3"/>
  <c r="J348" i="3"/>
  <c r="M347" i="3"/>
  <c r="L347" i="3"/>
  <c r="K347" i="3"/>
  <c r="J347" i="3"/>
  <c r="M346" i="3"/>
  <c r="L346" i="3"/>
  <c r="K346" i="3"/>
  <c r="J346" i="3"/>
  <c r="M345" i="3"/>
  <c r="L345" i="3"/>
  <c r="K345" i="3"/>
  <c r="J345" i="3"/>
  <c r="M344" i="3"/>
  <c r="L344" i="3"/>
  <c r="K344" i="3"/>
  <c r="J344" i="3"/>
  <c r="M343" i="3"/>
  <c r="L343" i="3"/>
  <c r="K343" i="3"/>
  <c r="J343" i="3"/>
  <c r="M342" i="3"/>
  <c r="L342" i="3"/>
  <c r="K342" i="3"/>
  <c r="J342" i="3"/>
  <c r="M341" i="3"/>
  <c r="L341" i="3"/>
  <c r="K341" i="3"/>
  <c r="J341" i="3"/>
  <c r="M340" i="3"/>
  <c r="L340" i="3"/>
  <c r="K340" i="3"/>
  <c r="J340" i="3"/>
  <c r="M339" i="3"/>
  <c r="L339" i="3"/>
  <c r="K339" i="3"/>
  <c r="J339" i="3"/>
  <c r="M338" i="3"/>
  <c r="L338" i="3"/>
  <c r="K338" i="3"/>
  <c r="J338" i="3"/>
  <c r="M337" i="3"/>
  <c r="L337" i="3"/>
  <c r="K337" i="3"/>
  <c r="J337" i="3"/>
  <c r="M336" i="3"/>
  <c r="L336" i="3"/>
  <c r="K336" i="3"/>
  <c r="J336" i="3"/>
  <c r="M335" i="3"/>
  <c r="L335" i="3"/>
  <c r="K335" i="3"/>
  <c r="J335" i="3"/>
  <c r="M334" i="3"/>
  <c r="L334" i="3"/>
  <c r="K334" i="3"/>
  <c r="J334" i="3"/>
  <c r="M333" i="3"/>
  <c r="L333" i="3"/>
  <c r="K333" i="3"/>
  <c r="J333" i="3"/>
  <c r="M332" i="3"/>
  <c r="L332" i="3"/>
  <c r="K332" i="3"/>
  <c r="J332" i="3"/>
  <c r="M331" i="3"/>
  <c r="L331" i="3"/>
  <c r="K331" i="3"/>
  <c r="J331" i="3"/>
  <c r="M330" i="3"/>
  <c r="L330" i="3"/>
  <c r="K330" i="3"/>
  <c r="J330" i="3"/>
  <c r="M329" i="3"/>
  <c r="L329" i="3"/>
  <c r="K329" i="3"/>
  <c r="J329" i="3"/>
  <c r="M328" i="3"/>
  <c r="L328" i="3"/>
  <c r="K328" i="3"/>
  <c r="J328" i="3"/>
  <c r="M327" i="3"/>
  <c r="L327" i="3"/>
  <c r="K327" i="3"/>
  <c r="J327" i="3"/>
  <c r="M326" i="3"/>
  <c r="L326" i="3"/>
  <c r="K326" i="3"/>
  <c r="J326" i="3"/>
  <c r="M325" i="3"/>
  <c r="L325" i="3"/>
  <c r="K325" i="3"/>
  <c r="J325" i="3"/>
  <c r="M324" i="3"/>
  <c r="L324" i="3"/>
  <c r="K324" i="3"/>
  <c r="J324" i="3"/>
  <c r="M323" i="3"/>
  <c r="L323" i="3"/>
  <c r="K323" i="3"/>
  <c r="J323" i="3"/>
  <c r="M322" i="3"/>
  <c r="L322" i="3"/>
  <c r="K322" i="3"/>
  <c r="J322" i="3"/>
  <c r="M321" i="3"/>
  <c r="L321" i="3"/>
  <c r="K321" i="3"/>
  <c r="J321" i="3"/>
  <c r="M320" i="3"/>
  <c r="L320" i="3"/>
  <c r="K320" i="3"/>
  <c r="J320" i="3"/>
  <c r="M319" i="3"/>
  <c r="L319" i="3"/>
  <c r="K319" i="3"/>
  <c r="J319" i="3"/>
  <c r="M318" i="3"/>
  <c r="L318" i="3"/>
  <c r="K318" i="3"/>
  <c r="J318" i="3"/>
  <c r="M317" i="3"/>
  <c r="L317" i="3"/>
  <c r="K317" i="3"/>
  <c r="J317" i="3"/>
  <c r="M316" i="3"/>
  <c r="L316" i="3"/>
  <c r="K316" i="3"/>
  <c r="J316" i="3"/>
  <c r="M315" i="3"/>
  <c r="L315" i="3"/>
  <c r="K315" i="3"/>
  <c r="J315" i="3"/>
  <c r="M314" i="3"/>
  <c r="L314" i="3"/>
  <c r="K314" i="3"/>
  <c r="J314" i="3"/>
  <c r="M313" i="3"/>
  <c r="L313" i="3"/>
  <c r="K313" i="3"/>
  <c r="J313" i="3"/>
  <c r="M312" i="3"/>
  <c r="L312" i="3"/>
  <c r="K312" i="3"/>
  <c r="J312" i="3"/>
  <c r="M311" i="3"/>
  <c r="L311" i="3"/>
  <c r="K311" i="3"/>
  <c r="J311" i="3"/>
  <c r="M310" i="3"/>
  <c r="L310" i="3"/>
  <c r="K310" i="3"/>
  <c r="J310" i="3"/>
  <c r="M309" i="3"/>
  <c r="L309" i="3"/>
  <c r="K309" i="3"/>
  <c r="J309" i="3"/>
  <c r="M308" i="3"/>
  <c r="L308" i="3"/>
  <c r="K308" i="3"/>
  <c r="J308" i="3"/>
  <c r="M307" i="3"/>
  <c r="L307" i="3"/>
  <c r="K307" i="3"/>
  <c r="J307" i="3"/>
  <c r="M306" i="3"/>
  <c r="L306" i="3"/>
  <c r="K306" i="3"/>
  <c r="J306" i="3"/>
  <c r="M305" i="3"/>
  <c r="L305" i="3"/>
  <c r="K305" i="3"/>
  <c r="J305" i="3"/>
  <c r="M304" i="3"/>
  <c r="L304" i="3"/>
  <c r="K304" i="3"/>
  <c r="J304" i="3"/>
  <c r="M303" i="3"/>
  <c r="L303" i="3"/>
  <c r="K303" i="3"/>
  <c r="J303" i="3"/>
  <c r="M302" i="3"/>
  <c r="L302" i="3"/>
  <c r="K302" i="3"/>
  <c r="J302" i="3"/>
  <c r="M301" i="3"/>
  <c r="L301" i="3"/>
  <c r="K301" i="3"/>
  <c r="J301" i="3"/>
  <c r="M300" i="3"/>
  <c r="L300" i="3"/>
  <c r="K300" i="3"/>
  <c r="J300" i="3"/>
  <c r="M299" i="3"/>
  <c r="L299" i="3"/>
  <c r="K299" i="3"/>
  <c r="J299" i="3"/>
  <c r="M298" i="3"/>
  <c r="L298" i="3"/>
  <c r="K298" i="3"/>
  <c r="J298" i="3"/>
  <c r="M297" i="3"/>
  <c r="L297" i="3"/>
  <c r="K297" i="3"/>
  <c r="J297" i="3"/>
  <c r="M296" i="3"/>
  <c r="L296" i="3"/>
  <c r="K296" i="3"/>
  <c r="J296" i="3"/>
  <c r="M295" i="3"/>
  <c r="L295" i="3"/>
  <c r="K295" i="3"/>
  <c r="J295" i="3"/>
  <c r="M294" i="3"/>
  <c r="L294" i="3"/>
  <c r="K294" i="3"/>
  <c r="J294" i="3"/>
  <c r="M293" i="3"/>
  <c r="L293" i="3"/>
  <c r="K293" i="3"/>
  <c r="J293" i="3"/>
  <c r="M292" i="3"/>
  <c r="L292" i="3"/>
  <c r="K292" i="3"/>
  <c r="J292" i="3"/>
  <c r="M291" i="3"/>
  <c r="L291" i="3"/>
  <c r="K291" i="3"/>
  <c r="J291" i="3"/>
  <c r="M290" i="3"/>
  <c r="L290" i="3"/>
  <c r="K290" i="3"/>
  <c r="J290" i="3"/>
  <c r="M289" i="3"/>
  <c r="L289" i="3"/>
  <c r="K289" i="3"/>
  <c r="J289" i="3"/>
  <c r="M288" i="3"/>
  <c r="L288" i="3"/>
  <c r="K288" i="3"/>
  <c r="J288" i="3"/>
  <c r="M287" i="3"/>
  <c r="L287" i="3"/>
  <c r="K287" i="3"/>
  <c r="J287" i="3"/>
  <c r="M286" i="3"/>
  <c r="L286" i="3"/>
  <c r="K286" i="3"/>
  <c r="J286" i="3"/>
  <c r="M285" i="3"/>
  <c r="L285" i="3"/>
  <c r="K285" i="3"/>
  <c r="J285" i="3"/>
  <c r="M284" i="3"/>
  <c r="L284" i="3"/>
  <c r="K284" i="3"/>
  <c r="J284" i="3"/>
  <c r="M283" i="3"/>
  <c r="L283" i="3"/>
  <c r="K283" i="3"/>
  <c r="J283" i="3"/>
  <c r="M282" i="3"/>
  <c r="L282" i="3"/>
  <c r="K282" i="3"/>
  <c r="J282" i="3"/>
  <c r="M281" i="3"/>
  <c r="L281" i="3"/>
  <c r="K281" i="3"/>
  <c r="J281" i="3"/>
  <c r="M280" i="3"/>
  <c r="L280" i="3"/>
  <c r="K280" i="3"/>
  <c r="J280" i="3"/>
  <c r="M279" i="3"/>
  <c r="L279" i="3"/>
  <c r="K279" i="3"/>
  <c r="J279" i="3"/>
  <c r="M278" i="3"/>
  <c r="L278" i="3"/>
  <c r="K278" i="3"/>
  <c r="J278" i="3"/>
  <c r="M277" i="3"/>
  <c r="L277" i="3"/>
  <c r="K277" i="3"/>
  <c r="J277" i="3"/>
  <c r="M276" i="3"/>
  <c r="L276" i="3"/>
  <c r="K276" i="3"/>
  <c r="J276" i="3"/>
  <c r="M275" i="3"/>
  <c r="L275" i="3"/>
  <c r="K275" i="3"/>
  <c r="J275" i="3"/>
  <c r="M274" i="3"/>
  <c r="L274" i="3"/>
  <c r="K274" i="3"/>
  <c r="J274" i="3"/>
  <c r="M273" i="3"/>
  <c r="L273" i="3"/>
  <c r="K273" i="3"/>
  <c r="J273" i="3"/>
  <c r="M272" i="3"/>
  <c r="L272" i="3"/>
  <c r="K272" i="3"/>
  <c r="J272" i="3"/>
  <c r="M271" i="3"/>
  <c r="L271" i="3"/>
  <c r="K271" i="3"/>
  <c r="J271" i="3"/>
  <c r="M270" i="3"/>
  <c r="L270" i="3"/>
  <c r="K270" i="3"/>
  <c r="J270" i="3"/>
  <c r="M269" i="3"/>
  <c r="L269" i="3"/>
  <c r="K269" i="3"/>
  <c r="J269" i="3"/>
  <c r="M268" i="3"/>
  <c r="L268" i="3"/>
  <c r="K268" i="3"/>
  <c r="J268" i="3"/>
  <c r="M267" i="3"/>
  <c r="L267" i="3"/>
  <c r="K267" i="3"/>
  <c r="J267" i="3"/>
  <c r="M266" i="3"/>
  <c r="L266" i="3"/>
  <c r="K266" i="3"/>
  <c r="J266" i="3"/>
  <c r="M265" i="3"/>
  <c r="L265" i="3"/>
  <c r="K265" i="3"/>
  <c r="J265" i="3"/>
  <c r="M264" i="3"/>
  <c r="L264" i="3"/>
  <c r="K264" i="3"/>
  <c r="J264" i="3"/>
  <c r="M263" i="3"/>
  <c r="L263" i="3"/>
  <c r="K263" i="3"/>
  <c r="J263" i="3"/>
  <c r="M262" i="3"/>
  <c r="L262" i="3"/>
  <c r="K262" i="3"/>
  <c r="J262" i="3"/>
  <c r="M261" i="3"/>
  <c r="L261" i="3"/>
  <c r="K261" i="3"/>
  <c r="J261" i="3"/>
  <c r="M260" i="3"/>
  <c r="L260" i="3"/>
  <c r="K260" i="3"/>
  <c r="J260" i="3"/>
  <c r="M259" i="3"/>
  <c r="L259" i="3"/>
  <c r="K259" i="3"/>
  <c r="J259" i="3"/>
  <c r="M258" i="3"/>
  <c r="L258" i="3"/>
  <c r="K258" i="3"/>
  <c r="J258" i="3"/>
  <c r="M257" i="3"/>
  <c r="L257" i="3"/>
  <c r="K257" i="3"/>
  <c r="J257" i="3"/>
  <c r="M256" i="3"/>
  <c r="L256" i="3"/>
  <c r="K256" i="3"/>
  <c r="J256" i="3"/>
  <c r="M255" i="3"/>
  <c r="L255" i="3"/>
  <c r="K255" i="3"/>
  <c r="J255" i="3"/>
  <c r="M254" i="3"/>
  <c r="L254" i="3"/>
  <c r="K254" i="3"/>
  <c r="J254" i="3"/>
  <c r="M253" i="3"/>
  <c r="L253" i="3"/>
  <c r="K253" i="3"/>
  <c r="J253" i="3"/>
  <c r="M252" i="3"/>
  <c r="L252" i="3"/>
  <c r="K252" i="3"/>
  <c r="J252" i="3"/>
  <c r="M251" i="3"/>
  <c r="L251" i="3"/>
  <c r="K251" i="3"/>
  <c r="J251" i="3"/>
  <c r="M250" i="3"/>
  <c r="L250" i="3"/>
  <c r="K250" i="3"/>
  <c r="J250" i="3"/>
  <c r="M249" i="3"/>
  <c r="L249" i="3"/>
  <c r="K249" i="3"/>
  <c r="J249" i="3"/>
  <c r="M248" i="3"/>
  <c r="L248" i="3"/>
  <c r="K248" i="3"/>
  <c r="J248" i="3"/>
  <c r="M247" i="3"/>
  <c r="L247" i="3"/>
  <c r="K247" i="3"/>
  <c r="J247" i="3"/>
  <c r="M246" i="3"/>
  <c r="L246" i="3"/>
  <c r="K246" i="3"/>
  <c r="J246" i="3"/>
  <c r="M245" i="3"/>
  <c r="L245" i="3"/>
  <c r="K245" i="3"/>
  <c r="J245" i="3"/>
  <c r="M244" i="3"/>
  <c r="L244" i="3"/>
  <c r="K244" i="3"/>
  <c r="J244" i="3"/>
  <c r="M243" i="3"/>
  <c r="L243" i="3"/>
  <c r="K243" i="3"/>
  <c r="J243" i="3"/>
  <c r="M242" i="3"/>
  <c r="L242" i="3"/>
  <c r="K242" i="3"/>
  <c r="J242" i="3"/>
  <c r="M241" i="3"/>
  <c r="L241" i="3"/>
  <c r="K241" i="3"/>
  <c r="J241" i="3"/>
  <c r="M240" i="3"/>
  <c r="L240" i="3"/>
  <c r="K240" i="3"/>
  <c r="J240" i="3"/>
  <c r="M239" i="3"/>
  <c r="L239" i="3"/>
  <c r="K239" i="3"/>
  <c r="J239" i="3"/>
  <c r="M238" i="3"/>
  <c r="L238" i="3"/>
  <c r="K238" i="3"/>
  <c r="J238" i="3"/>
  <c r="M237" i="3"/>
  <c r="L237" i="3"/>
  <c r="K237" i="3"/>
  <c r="J237" i="3"/>
  <c r="M236" i="3"/>
  <c r="L236" i="3"/>
  <c r="K236" i="3"/>
  <c r="J236" i="3"/>
  <c r="M235" i="3"/>
  <c r="L235" i="3"/>
  <c r="K235" i="3"/>
  <c r="J235" i="3"/>
  <c r="M234" i="3"/>
  <c r="L234" i="3"/>
  <c r="K234" i="3"/>
  <c r="J234" i="3"/>
  <c r="M233" i="3"/>
  <c r="L233" i="3"/>
  <c r="K233" i="3"/>
  <c r="J233" i="3"/>
  <c r="M232" i="3"/>
  <c r="L232" i="3"/>
  <c r="K232" i="3"/>
  <c r="J232" i="3"/>
  <c r="M231" i="3"/>
  <c r="L231" i="3"/>
  <c r="K231" i="3"/>
  <c r="J231" i="3"/>
  <c r="M230" i="3"/>
  <c r="L230" i="3"/>
  <c r="K230" i="3"/>
  <c r="J230" i="3"/>
  <c r="M229" i="3"/>
  <c r="L229" i="3"/>
  <c r="K229" i="3"/>
  <c r="J229" i="3"/>
  <c r="M228" i="3"/>
  <c r="L228" i="3"/>
  <c r="K228" i="3"/>
  <c r="J228" i="3"/>
  <c r="M227" i="3"/>
  <c r="L227" i="3"/>
  <c r="K227" i="3"/>
  <c r="J227" i="3"/>
  <c r="M226" i="3"/>
  <c r="L226" i="3"/>
  <c r="K226" i="3"/>
  <c r="J226" i="3"/>
  <c r="M225" i="3"/>
  <c r="L225" i="3"/>
  <c r="K225" i="3"/>
  <c r="J225" i="3"/>
  <c r="M224" i="3"/>
  <c r="L224" i="3"/>
  <c r="K224" i="3"/>
  <c r="J224" i="3"/>
  <c r="M223" i="3"/>
  <c r="L223" i="3"/>
  <c r="K223" i="3"/>
  <c r="J223" i="3"/>
  <c r="M222" i="3"/>
  <c r="L222" i="3"/>
  <c r="K222" i="3"/>
  <c r="J222" i="3"/>
  <c r="M221" i="3"/>
  <c r="L221" i="3"/>
  <c r="K221" i="3"/>
  <c r="J221" i="3"/>
  <c r="M220" i="3"/>
  <c r="L220" i="3"/>
  <c r="K220" i="3"/>
  <c r="J220" i="3"/>
  <c r="M219" i="3"/>
  <c r="L219" i="3"/>
  <c r="K219" i="3"/>
  <c r="J219" i="3"/>
  <c r="M218" i="3"/>
  <c r="L218" i="3"/>
  <c r="K218" i="3"/>
  <c r="J218" i="3"/>
  <c r="M217" i="3"/>
  <c r="L217" i="3"/>
  <c r="K217" i="3"/>
  <c r="J217" i="3"/>
  <c r="M216" i="3"/>
  <c r="L216" i="3"/>
  <c r="K216" i="3"/>
  <c r="J216" i="3"/>
  <c r="M215" i="3"/>
  <c r="L215" i="3"/>
  <c r="K215" i="3"/>
  <c r="J215" i="3"/>
  <c r="M214" i="3"/>
  <c r="L214" i="3"/>
  <c r="K214" i="3"/>
  <c r="J214" i="3"/>
  <c r="M213" i="3"/>
  <c r="L213" i="3"/>
  <c r="K213" i="3"/>
  <c r="J213" i="3"/>
  <c r="M212" i="3"/>
  <c r="L212" i="3"/>
  <c r="K212" i="3"/>
  <c r="J212" i="3"/>
  <c r="M211" i="3"/>
  <c r="L211" i="3"/>
  <c r="K211" i="3"/>
  <c r="J211" i="3"/>
  <c r="M210" i="3"/>
  <c r="L210" i="3"/>
  <c r="K210" i="3"/>
  <c r="J210" i="3"/>
  <c r="M209" i="3"/>
  <c r="L209" i="3"/>
  <c r="K209" i="3"/>
  <c r="J209" i="3"/>
  <c r="M208" i="3"/>
  <c r="L208" i="3"/>
  <c r="K208" i="3"/>
  <c r="J208" i="3"/>
  <c r="M207" i="3"/>
  <c r="L207" i="3"/>
  <c r="K207" i="3"/>
  <c r="J207" i="3"/>
  <c r="M206" i="3"/>
  <c r="L206" i="3"/>
  <c r="K206" i="3"/>
  <c r="J206" i="3"/>
  <c r="M205" i="3"/>
  <c r="L205" i="3"/>
  <c r="K205" i="3"/>
  <c r="J205" i="3"/>
  <c r="M204" i="3"/>
  <c r="L204" i="3"/>
  <c r="K204" i="3"/>
  <c r="J204" i="3"/>
  <c r="M203" i="3"/>
  <c r="L203" i="3"/>
  <c r="K203" i="3"/>
  <c r="J203" i="3"/>
  <c r="M202" i="3"/>
  <c r="L202" i="3"/>
  <c r="K202" i="3"/>
  <c r="J202" i="3"/>
  <c r="M201" i="3"/>
  <c r="L201" i="3"/>
  <c r="K201" i="3"/>
  <c r="J201" i="3"/>
  <c r="M200" i="3"/>
  <c r="L200" i="3"/>
  <c r="K200" i="3"/>
  <c r="J200" i="3"/>
  <c r="M199" i="3"/>
  <c r="L199" i="3"/>
  <c r="K199" i="3"/>
  <c r="J199" i="3"/>
  <c r="M198" i="3"/>
  <c r="L198" i="3"/>
  <c r="K198" i="3"/>
  <c r="J198" i="3"/>
  <c r="M197" i="3"/>
  <c r="L197" i="3"/>
  <c r="K197" i="3"/>
  <c r="J197" i="3"/>
  <c r="M196" i="3"/>
  <c r="L196" i="3"/>
  <c r="K196" i="3"/>
  <c r="J196" i="3"/>
  <c r="M195" i="3"/>
  <c r="L195" i="3"/>
  <c r="K195" i="3"/>
  <c r="J195" i="3"/>
  <c r="M194" i="3"/>
  <c r="L194" i="3"/>
  <c r="K194" i="3"/>
  <c r="J194" i="3"/>
  <c r="M193" i="3"/>
  <c r="L193" i="3"/>
  <c r="K193" i="3"/>
  <c r="J193" i="3"/>
  <c r="M192" i="3"/>
  <c r="L192" i="3"/>
  <c r="K192" i="3"/>
  <c r="J192" i="3"/>
  <c r="M191" i="3"/>
  <c r="L191" i="3"/>
  <c r="K191" i="3"/>
  <c r="J191" i="3"/>
  <c r="M190" i="3"/>
  <c r="L190" i="3"/>
  <c r="K190" i="3"/>
  <c r="J190" i="3"/>
  <c r="M189" i="3"/>
  <c r="L189" i="3"/>
  <c r="K189" i="3"/>
  <c r="J189" i="3"/>
  <c r="M188" i="3"/>
  <c r="L188" i="3"/>
  <c r="K188" i="3"/>
  <c r="J188" i="3"/>
  <c r="M187" i="3"/>
  <c r="L187" i="3"/>
  <c r="K187" i="3"/>
  <c r="J187" i="3"/>
  <c r="M186" i="3"/>
  <c r="L186" i="3"/>
  <c r="K186" i="3"/>
  <c r="J186" i="3"/>
  <c r="M185" i="3"/>
  <c r="L185" i="3"/>
  <c r="K185" i="3"/>
  <c r="J185" i="3"/>
  <c r="M184" i="3"/>
  <c r="L184" i="3"/>
  <c r="K184" i="3"/>
  <c r="J184" i="3"/>
  <c r="M183" i="3"/>
  <c r="L183" i="3"/>
  <c r="K183" i="3"/>
  <c r="J183" i="3"/>
  <c r="M182" i="3"/>
  <c r="L182" i="3"/>
  <c r="K182" i="3"/>
  <c r="J182" i="3"/>
  <c r="M181" i="3"/>
  <c r="L181" i="3"/>
  <c r="K181" i="3"/>
  <c r="J181" i="3"/>
  <c r="M180" i="3"/>
  <c r="L180" i="3"/>
  <c r="K180" i="3"/>
  <c r="J180" i="3"/>
  <c r="M179" i="3"/>
  <c r="L179" i="3"/>
  <c r="K179" i="3"/>
  <c r="J179" i="3"/>
  <c r="M178" i="3"/>
  <c r="L178" i="3"/>
  <c r="K178" i="3"/>
  <c r="J178" i="3"/>
  <c r="M177" i="3"/>
  <c r="L177" i="3"/>
  <c r="K177" i="3"/>
  <c r="J177" i="3"/>
  <c r="M176" i="3"/>
  <c r="L176" i="3"/>
  <c r="K176" i="3"/>
  <c r="J176" i="3"/>
  <c r="M175" i="3"/>
  <c r="L175" i="3"/>
  <c r="K175" i="3"/>
  <c r="J175" i="3"/>
  <c r="M174" i="3"/>
  <c r="L174" i="3"/>
  <c r="K174" i="3"/>
  <c r="J174" i="3"/>
  <c r="M173" i="3"/>
  <c r="L173" i="3"/>
  <c r="K173" i="3"/>
  <c r="J173" i="3"/>
  <c r="M172" i="3"/>
  <c r="L172" i="3"/>
  <c r="K172" i="3"/>
  <c r="J172" i="3"/>
  <c r="M171" i="3"/>
  <c r="L171" i="3"/>
  <c r="K171" i="3"/>
  <c r="J171" i="3"/>
  <c r="M170" i="3"/>
  <c r="L170" i="3"/>
  <c r="K170" i="3"/>
  <c r="J170" i="3"/>
  <c r="M169" i="3"/>
  <c r="L169" i="3"/>
  <c r="K169" i="3"/>
  <c r="J169" i="3"/>
  <c r="M168" i="3"/>
  <c r="L168" i="3"/>
  <c r="K168" i="3"/>
  <c r="J168" i="3"/>
  <c r="M167" i="3"/>
  <c r="L167" i="3"/>
  <c r="K167" i="3"/>
  <c r="J167" i="3"/>
  <c r="M166" i="3"/>
  <c r="L166" i="3"/>
  <c r="K166" i="3"/>
  <c r="J166" i="3"/>
  <c r="M165" i="3"/>
  <c r="L165" i="3"/>
  <c r="K165" i="3"/>
  <c r="J165" i="3"/>
  <c r="M164" i="3"/>
  <c r="L164" i="3"/>
  <c r="K164" i="3"/>
  <c r="J164" i="3"/>
  <c r="M163" i="3"/>
  <c r="L163" i="3"/>
  <c r="K163" i="3"/>
  <c r="J163" i="3"/>
  <c r="M162" i="3"/>
  <c r="L162" i="3"/>
  <c r="K162" i="3"/>
  <c r="J162" i="3"/>
  <c r="M161" i="3"/>
  <c r="L161" i="3"/>
  <c r="K161" i="3"/>
  <c r="J161" i="3"/>
  <c r="M160" i="3"/>
  <c r="L160" i="3"/>
  <c r="K160" i="3"/>
  <c r="J160" i="3"/>
  <c r="M159" i="3"/>
  <c r="L159" i="3"/>
  <c r="K159" i="3"/>
  <c r="J159" i="3"/>
  <c r="M158" i="3"/>
  <c r="L158" i="3"/>
  <c r="K158" i="3"/>
  <c r="J158" i="3"/>
  <c r="M157" i="3"/>
  <c r="L157" i="3"/>
  <c r="K157" i="3"/>
  <c r="J157" i="3"/>
  <c r="M156" i="3"/>
  <c r="L156" i="3"/>
  <c r="K156" i="3"/>
  <c r="J156" i="3"/>
  <c r="M155" i="3"/>
  <c r="L155" i="3"/>
  <c r="K155" i="3"/>
  <c r="J155" i="3"/>
  <c r="M154" i="3"/>
  <c r="L154" i="3"/>
  <c r="K154" i="3"/>
  <c r="J154" i="3"/>
  <c r="M153" i="3"/>
  <c r="L153" i="3"/>
  <c r="K153" i="3"/>
  <c r="J153" i="3"/>
  <c r="M152" i="3"/>
  <c r="L152" i="3"/>
  <c r="K152" i="3"/>
  <c r="J152" i="3"/>
  <c r="M151" i="3"/>
  <c r="L151" i="3"/>
  <c r="K151" i="3"/>
  <c r="J151" i="3"/>
  <c r="M150" i="3"/>
  <c r="L150" i="3"/>
  <c r="K150" i="3"/>
  <c r="J150" i="3"/>
  <c r="M149" i="3"/>
  <c r="L149" i="3"/>
  <c r="K149" i="3"/>
  <c r="J149" i="3"/>
  <c r="M148" i="3"/>
  <c r="L148" i="3"/>
  <c r="K148" i="3"/>
  <c r="J148" i="3"/>
  <c r="M147" i="3"/>
  <c r="L147" i="3"/>
  <c r="K147" i="3"/>
  <c r="J147" i="3"/>
  <c r="M146" i="3"/>
  <c r="L146" i="3"/>
  <c r="K146" i="3"/>
  <c r="J146" i="3"/>
  <c r="M145" i="3"/>
  <c r="L145" i="3"/>
  <c r="K145" i="3"/>
  <c r="J145" i="3"/>
  <c r="M144" i="3"/>
  <c r="L144" i="3"/>
  <c r="K144" i="3"/>
  <c r="J144" i="3"/>
  <c r="M143" i="3"/>
  <c r="L143" i="3"/>
  <c r="K143" i="3"/>
  <c r="J143" i="3"/>
  <c r="M142" i="3"/>
  <c r="L142" i="3"/>
  <c r="K142" i="3"/>
  <c r="J142" i="3"/>
  <c r="M141" i="3"/>
  <c r="L141" i="3"/>
  <c r="K141" i="3"/>
  <c r="J141" i="3"/>
  <c r="M140" i="3"/>
  <c r="L140" i="3"/>
  <c r="K140" i="3"/>
  <c r="J140" i="3"/>
  <c r="M139" i="3"/>
  <c r="L139" i="3"/>
  <c r="K139" i="3"/>
  <c r="J139" i="3"/>
  <c r="M138" i="3"/>
  <c r="L138" i="3"/>
  <c r="K138" i="3"/>
  <c r="J138" i="3"/>
  <c r="M137" i="3"/>
  <c r="L137" i="3"/>
  <c r="K137" i="3"/>
  <c r="J137" i="3"/>
  <c r="M136" i="3"/>
  <c r="L136" i="3"/>
  <c r="K136" i="3"/>
  <c r="J136" i="3"/>
  <c r="M135" i="3"/>
  <c r="L135" i="3"/>
  <c r="K135" i="3"/>
  <c r="J135" i="3"/>
  <c r="M134" i="3"/>
  <c r="L134" i="3"/>
  <c r="K134" i="3"/>
  <c r="J134" i="3"/>
  <c r="M133" i="3"/>
  <c r="L133" i="3"/>
  <c r="K133" i="3"/>
  <c r="J133" i="3"/>
  <c r="M132" i="3"/>
  <c r="L132" i="3"/>
  <c r="K132" i="3"/>
  <c r="J132" i="3"/>
  <c r="M131" i="3"/>
  <c r="L131" i="3"/>
  <c r="K131" i="3"/>
  <c r="J131" i="3"/>
  <c r="M130" i="3"/>
  <c r="L130" i="3"/>
  <c r="K130" i="3"/>
  <c r="J130" i="3"/>
  <c r="M129" i="3"/>
  <c r="L129" i="3"/>
  <c r="K129" i="3"/>
  <c r="J129" i="3"/>
  <c r="M128" i="3"/>
  <c r="L128" i="3"/>
  <c r="K128" i="3"/>
  <c r="J128" i="3"/>
  <c r="M127" i="3"/>
  <c r="L127" i="3"/>
  <c r="K127" i="3"/>
  <c r="J127" i="3"/>
  <c r="M126" i="3"/>
  <c r="L126" i="3"/>
  <c r="K126" i="3"/>
  <c r="J126" i="3"/>
  <c r="M125" i="3"/>
  <c r="L125" i="3"/>
  <c r="K125" i="3"/>
  <c r="J125" i="3"/>
  <c r="M124" i="3"/>
  <c r="L124" i="3"/>
  <c r="K124" i="3"/>
  <c r="J124" i="3"/>
  <c r="M123" i="3"/>
  <c r="L123" i="3"/>
  <c r="K123" i="3"/>
  <c r="J123" i="3"/>
  <c r="M122" i="3"/>
  <c r="L122" i="3"/>
  <c r="K122" i="3"/>
  <c r="J122" i="3"/>
  <c r="M121" i="3"/>
  <c r="L121" i="3"/>
  <c r="K121" i="3"/>
  <c r="J121" i="3"/>
  <c r="M120" i="3"/>
  <c r="L120" i="3"/>
  <c r="K120" i="3"/>
  <c r="J120" i="3"/>
  <c r="M119" i="3"/>
  <c r="L119" i="3"/>
  <c r="K119" i="3"/>
  <c r="J119" i="3"/>
  <c r="M118" i="3"/>
  <c r="L118" i="3"/>
  <c r="K118" i="3"/>
  <c r="J118" i="3"/>
  <c r="M117" i="3"/>
  <c r="L117" i="3"/>
  <c r="K117" i="3"/>
  <c r="J117" i="3"/>
  <c r="M116" i="3"/>
  <c r="L116" i="3"/>
  <c r="K116" i="3"/>
  <c r="J116" i="3"/>
  <c r="M115" i="3"/>
  <c r="L115" i="3"/>
  <c r="K115" i="3"/>
  <c r="J115" i="3"/>
  <c r="M114" i="3"/>
  <c r="L114" i="3"/>
  <c r="K114" i="3"/>
  <c r="J114" i="3"/>
  <c r="M113" i="3"/>
  <c r="L113" i="3"/>
  <c r="K113" i="3"/>
  <c r="J113" i="3"/>
  <c r="M112" i="3"/>
  <c r="L112" i="3"/>
  <c r="K112" i="3"/>
  <c r="J112" i="3"/>
  <c r="M111" i="3"/>
  <c r="L111" i="3"/>
  <c r="K111" i="3"/>
  <c r="J111" i="3"/>
  <c r="M110" i="3"/>
  <c r="L110" i="3"/>
  <c r="K110" i="3"/>
  <c r="J110" i="3"/>
  <c r="M109" i="3"/>
  <c r="L109" i="3"/>
  <c r="K109" i="3"/>
  <c r="J109" i="3"/>
  <c r="M108" i="3"/>
  <c r="L108" i="3"/>
  <c r="K108" i="3"/>
  <c r="J108" i="3"/>
  <c r="M107" i="3"/>
  <c r="L107" i="3"/>
  <c r="K107" i="3"/>
  <c r="J107" i="3"/>
  <c r="M106" i="3"/>
  <c r="L106" i="3"/>
  <c r="K106" i="3"/>
  <c r="J106" i="3"/>
  <c r="M105" i="3"/>
  <c r="L105" i="3"/>
  <c r="K105" i="3"/>
  <c r="J105" i="3"/>
  <c r="M104" i="3"/>
  <c r="L104" i="3"/>
  <c r="K104" i="3"/>
  <c r="J104" i="3"/>
  <c r="M103" i="3"/>
  <c r="L103" i="3"/>
  <c r="K103" i="3"/>
  <c r="J103" i="3"/>
  <c r="M102" i="3"/>
  <c r="L102" i="3"/>
  <c r="K102" i="3"/>
  <c r="J102" i="3"/>
  <c r="M101" i="3"/>
  <c r="L101" i="3"/>
  <c r="K101" i="3"/>
  <c r="J101" i="3"/>
  <c r="M100" i="3"/>
  <c r="L100" i="3"/>
  <c r="K100" i="3"/>
  <c r="J100" i="3"/>
  <c r="M99" i="3"/>
  <c r="L99" i="3"/>
  <c r="K99" i="3"/>
  <c r="J99" i="3"/>
  <c r="M98" i="3"/>
  <c r="L98" i="3"/>
  <c r="K98" i="3"/>
  <c r="J98" i="3"/>
  <c r="M97" i="3"/>
  <c r="L97" i="3"/>
  <c r="K97" i="3"/>
  <c r="J97" i="3"/>
  <c r="M96" i="3"/>
  <c r="L96" i="3"/>
  <c r="K96" i="3"/>
  <c r="J96" i="3"/>
  <c r="M95" i="3"/>
  <c r="L95" i="3"/>
  <c r="K95" i="3"/>
  <c r="J95" i="3"/>
  <c r="M94" i="3"/>
  <c r="L94" i="3"/>
  <c r="K94" i="3"/>
  <c r="J94" i="3"/>
  <c r="M93" i="3"/>
  <c r="L93" i="3"/>
  <c r="K93" i="3"/>
  <c r="J93" i="3"/>
  <c r="M92" i="3"/>
  <c r="L92" i="3"/>
  <c r="K92" i="3"/>
  <c r="J92" i="3"/>
  <c r="M91" i="3"/>
  <c r="L91" i="3"/>
  <c r="K91" i="3"/>
  <c r="J91" i="3"/>
  <c r="M90" i="3"/>
  <c r="L90" i="3"/>
  <c r="K90" i="3"/>
  <c r="J90" i="3"/>
  <c r="M89" i="3"/>
  <c r="L89" i="3"/>
  <c r="K89" i="3"/>
  <c r="J89" i="3"/>
  <c r="M88" i="3"/>
  <c r="L88" i="3"/>
  <c r="K88" i="3"/>
  <c r="J88" i="3"/>
  <c r="M87" i="3"/>
  <c r="L87" i="3"/>
  <c r="K87" i="3"/>
  <c r="J87" i="3"/>
  <c r="M86" i="3"/>
  <c r="L86" i="3"/>
  <c r="K86" i="3"/>
  <c r="J86" i="3"/>
  <c r="M85" i="3"/>
  <c r="L85" i="3"/>
  <c r="K85" i="3"/>
  <c r="J85" i="3"/>
  <c r="M84" i="3"/>
  <c r="L84" i="3"/>
  <c r="K84" i="3"/>
  <c r="J84" i="3"/>
  <c r="M83" i="3"/>
  <c r="L83" i="3"/>
  <c r="K83" i="3"/>
  <c r="J83" i="3"/>
  <c r="M82" i="3"/>
  <c r="L82" i="3"/>
  <c r="K82" i="3"/>
  <c r="J82" i="3"/>
  <c r="M81" i="3"/>
  <c r="L81" i="3"/>
  <c r="K81" i="3"/>
  <c r="J81" i="3"/>
  <c r="M80" i="3"/>
  <c r="L80" i="3"/>
  <c r="K80" i="3"/>
  <c r="J80" i="3"/>
  <c r="M79" i="3"/>
  <c r="L79" i="3"/>
  <c r="K79" i="3"/>
  <c r="J79" i="3"/>
  <c r="M78" i="3"/>
  <c r="L78" i="3"/>
  <c r="K78" i="3"/>
  <c r="J78" i="3"/>
  <c r="M77" i="3"/>
  <c r="L77" i="3"/>
  <c r="K77" i="3"/>
  <c r="J77" i="3"/>
  <c r="M76" i="3"/>
  <c r="L76" i="3"/>
  <c r="K76" i="3"/>
  <c r="J76" i="3"/>
  <c r="M75" i="3"/>
  <c r="L75" i="3"/>
  <c r="K75" i="3"/>
  <c r="J75" i="3"/>
  <c r="M74" i="3"/>
  <c r="L74" i="3"/>
  <c r="K74" i="3"/>
  <c r="J74" i="3"/>
  <c r="M73" i="3"/>
  <c r="L73" i="3"/>
  <c r="K73" i="3"/>
  <c r="J73" i="3"/>
  <c r="M72" i="3"/>
  <c r="L72" i="3"/>
  <c r="K72" i="3"/>
  <c r="J72" i="3"/>
  <c r="M71" i="3"/>
  <c r="L71" i="3"/>
  <c r="K71" i="3"/>
  <c r="J71" i="3"/>
  <c r="M70" i="3"/>
  <c r="L70" i="3"/>
  <c r="K70" i="3"/>
  <c r="J70" i="3"/>
  <c r="M69" i="3"/>
  <c r="L69" i="3"/>
  <c r="K69" i="3"/>
  <c r="J69" i="3"/>
  <c r="M68" i="3"/>
  <c r="L68" i="3"/>
  <c r="K68" i="3"/>
  <c r="J68" i="3"/>
  <c r="M67" i="3"/>
  <c r="L67" i="3"/>
  <c r="K67" i="3"/>
  <c r="J67" i="3"/>
  <c r="M66" i="3"/>
  <c r="L66" i="3"/>
  <c r="K66" i="3"/>
  <c r="J66" i="3"/>
  <c r="M65" i="3"/>
  <c r="L65" i="3"/>
  <c r="K65" i="3"/>
  <c r="J65" i="3"/>
  <c r="M64" i="3"/>
  <c r="L64" i="3"/>
  <c r="K64" i="3"/>
  <c r="J64" i="3"/>
  <c r="M63" i="3"/>
  <c r="L63" i="3"/>
  <c r="K63" i="3"/>
  <c r="J63" i="3"/>
  <c r="M62" i="3"/>
  <c r="L62" i="3"/>
  <c r="K62" i="3"/>
  <c r="J62" i="3"/>
  <c r="M61" i="3"/>
  <c r="L61" i="3"/>
  <c r="K61" i="3"/>
  <c r="J61" i="3"/>
  <c r="M60" i="3"/>
  <c r="L60" i="3"/>
  <c r="K60" i="3"/>
  <c r="J60" i="3"/>
  <c r="M59" i="3"/>
  <c r="L59" i="3"/>
  <c r="K59" i="3"/>
  <c r="J59" i="3"/>
  <c r="M58" i="3"/>
  <c r="L58" i="3"/>
  <c r="K58" i="3"/>
  <c r="J58" i="3"/>
  <c r="M57" i="3"/>
  <c r="L57" i="3"/>
  <c r="K57" i="3"/>
  <c r="J57" i="3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M51" i="3"/>
  <c r="L51" i="3"/>
  <c r="K51" i="3"/>
  <c r="J51" i="3"/>
  <c r="M50" i="3"/>
  <c r="L50" i="3"/>
  <c r="K50" i="3"/>
  <c r="J50" i="3"/>
  <c r="M49" i="3"/>
  <c r="L49" i="3"/>
  <c r="K49" i="3"/>
  <c r="J49" i="3"/>
  <c r="M48" i="3"/>
  <c r="L48" i="3"/>
  <c r="K48" i="3"/>
  <c r="J48" i="3"/>
  <c r="M47" i="3"/>
  <c r="L47" i="3"/>
  <c r="K47" i="3"/>
  <c r="J47" i="3"/>
  <c r="M46" i="3"/>
  <c r="L46" i="3"/>
  <c r="K46" i="3"/>
  <c r="J46" i="3"/>
  <c r="M45" i="3"/>
  <c r="L45" i="3"/>
  <c r="K45" i="3"/>
  <c r="J45" i="3"/>
  <c r="M44" i="3"/>
  <c r="L44" i="3"/>
  <c r="K44" i="3"/>
  <c r="J44" i="3"/>
  <c r="M43" i="3"/>
  <c r="L43" i="3"/>
  <c r="K43" i="3"/>
  <c r="J43" i="3"/>
  <c r="M42" i="3"/>
  <c r="L42" i="3"/>
  <c r="K42" i="3"/>
  <c r="J42" i="3"/>
  <c r="M41" i="3"/>
  <c r="L41" i="3"/>
  <c r="K41" i="3"/>
  <c r="J41" i="3"/>
  <c r="M40" i="3"/>
  <c r="L40" i="3"/>
  <c r="K40" i="3"/>
  <c r="J40" i="3"/>
  <c r="M39" i="3"/>
  <c r="L39" i="3"/>
  <c r="K39" i="3"/>
  <c r="J39" i="3"/>
  <c r="M38" i="3"/>
  <c r="L38" i="3"/>
  <c r="K38" i="3"/>
  <c r="J38" i="3"/>
  <c r="M37" i="3"/>
  <c r="L37" i="3"/>
  <c r="K37" i="3"/>
  <c r="J37" i="3"/>
  <c r="M36" i="3"/>
  <c r="L36" i="3"/>
  <c r="K36" i="3"/>
  <c r="J36" i="3"/>
  <c r="M35" i="3"/>
  <c r="L35" i="3"/>
  <c r="K35" i="3"/>
  <c r="J35" i="3"/>
  <c r="M34" i="3"/>
  <c r="L34" i="3"/>
  <c r="K34" i="3"/>
  <c r="J34" i="3"/>
  <c r="M33" i="3"/>
  <c r="L33" i="3"/>
  <c r="K33" i="3"/>
  <c r="J33" i="3"/>
  <c r="M32" i="3"/>
  <c r="L32" i="3"/>
  <c r="K32" i="3"/>
  <c r="J32" i="3"/>
  <c r="M31" i="3"/>
  <c r="L31" i="3"/>
  <c r="K31" i="3"/>
  <c r="J31" i="3"/>
  <c r="M30" i="3"/>
  <c r="L30" i="3"/>
  <c r="K30" i="3"/>
  <c r="J30" i="3"/>
  <c r="M29" i="3"/>
  <c r="L29" i="3"/>
  <c r="K29" i="3"/>
  <c r="J29" i="3"/>
  <c r="M28" i="3"/>
  <c r="L28" i="3"/>
  <c r="K28" i="3"/>
  <c r="J28" i="3"/>
  <c r="M27" i="3"/>
  <c r="L27" i="3"/>
  <c r="K27" i="3"/>
  <c r="J27" i="3"/>
  <c r="M26" i="3"/>
  <c r="L26" i="3"/>
  <c r="K26" i="3"/>
  <c r="J26" i="3"/>
  <c r="M25" i="3"/>
  <c r="L25" i="3"/>
  <c r="K25" i="3"/>
  <c r="J25" i="3"/>
  <c r="M24" i="3"/>
  <c r="L24" i="3"/>
  <c r="K24" i="3"/>
  <c r="J24" i="3"/>
  <c r="M23" i="3"/>
  <c r="L23" i="3"/>
  <c r="K23" i="3"/>
  <c r="J23" i="3"/>
  <c r="M22" i="3"/>
  <c r="L22" i="3"/>
  <c r="K22" i="3"/>
  <c r="J22" i="3"/>
  <c r="M21" i="3"/>
  <c r="L21" i="3"/>
  <c r="K21" i="3"/>
  <c r="J21" i="3"/>
  <c r="M20" i="3"/>
  <c r="L20" i="3"/>
  <c r="K20" i="3"/>
  <c r="J20" i="3"/>
  <c r="M19" i="3"/>
  <c r="L19" i="3"/>
  <c r="K19" i="3"/>
  <c r="J19" i="3"/>
  <c r="M18" i="3"/>
  <c r="L18" i="3"/>
  <c r="K18" i="3"/>
  <c r="J18" i="3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M6" i="3"/>
  <c r="L6" i="3"/>
  <c r="K6" i="3"/>
  <c r="J6" i="3"/>
  <c r="M5" i="3"/>
  <c r="L5" i="3"/>
  <c r="K5" i="3"/>
  <c r="J5" i="3"/>
  <c r="M4" i="3"/>
  <c r="L4" i="3"/>
  <c r="K4" i="3"/>
  <c r="J4" i="3"/>
  <c r="M3" i="3"/>
  <c r="L3" i="3"/>
  <c r="K3" i="3"/>
  <c r="J3" i="3"/>
  <c r="M2" i="3"/>
  <c r="L2" i="3"/>
  <c r="K2" i="3"/>
  <c r="J2" i="3"/>
  <c r="I2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J7" i="5" l="1" a="1"/>
  <c r="J7" i="5" s="1"/>
  <c r="J6" i="5" a="1"/>
  <c r="J6" i="5" s="1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K7" i="5" l="1" a="1"/>
  <c r="K7" i="5" s="1"/>
  <c r="K6" i="5" a="1"/>
  <c r="K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tc={FC669703-9CAC-4A8B-A812-657A0F787DC6}</author>
  </authors>
  <commentList>
    <comment ref="I1" authorId="0" shapeId="0" xr:uid="{FC669703-9CAC-4A8B-A812-657A0F787D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Proxy for commissioning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<sst xmlns="http://schemas.openxmlformats.org/spreadsheetml/2006/main" count="6253" uniqueCount="2810">
  <si>
    <t>name</t>
  </si>
  <si>
    <t>created_date</t>
  </si>
  <si>
    <t>GA</t>
  </si>
  <si>
    <t>2022:06:07</t>
  </si>
  <si>
    <t>General Aeronautics</t>
  </si>
  <si>
    <t>Bayer</t>
  </si>
  <si>
    <t>2022:07:15</t>
  </si>
  <si>
    <t>PI Industries</t>
  </si>
  <si>
    <t>2022:08:17</t>
  </si>
  <si>
    <t>FMC</t>
  </si>
  <si>
    <t>2022:11:04</t>
  </si>
  <si>
    <t>BASF INDIA LIMITED</t>
  </si>
  <si>
    <t>2022:11:21</t>
  </si>
  <si>
    <t>Syngenta India Ltd</t>
  </si>
  <si>
    <t>2023:01:05</t>
  </si>
  <si>
    <t>Tractors and Farm Equipment Lt</t>
  </si>
  <si>
    <t>2023:01:11</t>
  </si>
  <si>
    <t>Bayer Sale</t>
  </si>
  <si>
    <t>2023:01:12</t>
  </si>
  <si>
    <t>GA OPS</t>
  </si>
  <si>
    <t>2023:01:17</t>
  </si>
  <si>
    <t>Bayer Crop Science Limited CIRD</t>
  </si>
  <si>
    <t>2023:02:15</t>
  </si>
  <si>
    <t>Centurion University</t>
  </si>
  <si>
    <t>2023:03:18</t>
  </si>
  <si>
    <t>IFFCO ONE</t>
  </si>
  <si>
    <t>2023:07:25</t>
  </si>
  <si>
    <t>Monsanto Holdings Pvt Ltd</t>
  </si>
  <si>
    <t>2023:10:31</t>
  </si>
  <si>
    <t>IFFCO</t>
  </si>
  <si>
    <t>2023:11:30</t>
  </si>
  <si>
    <t>AIF Vinay</t>
  </si>
  <si>
    <t>2023:12:29</t>
  </si>
  <si>
    <t>GA Test</t>
  </si>
  <si>
    <t>2024:01:05</t>
  </si>
  <si>
    <t>Agronomics Pvt Ltd</t>
  </si>
  <si>
    <t>2024:01:06</t>
  </si>
  <si>
    <t>SR and Company</t>
  </si>
  <si>
    <t>SVERI College of Engineering</t>
  </si>
  <si>
    <t>2024:02:05</t>
  </si>
  <si>
    <t>Vreedhi Services</t>
  </si>
  <si>
    <t>2024:02:15</t>
  </si>
  <si>
    <t>Indian Institute of Water Management</t>
  </si>
  <si>
    <t>2024:03:26</t>
  </si>
  <si>
    <t>Yamaha Motor Solutions India Pvt Ltd</t>
  </si>
  <si>
    <t>2024:05:21</t>
  </si>
  <si>
    <t>Adani Skill Development</t>
  </si>
  <si>
    <t>2024:06:28</t>
  </si>
  <si>
    <t>Chambal Kota</t>
  </si>
  <si>
    <t>2024:07:12</t>
  </si>
  <si>
    <t>Sanskardham Drone Academy</t>
  </si>
  <si>
    <t>2024:07:17</t>
  </si>
  <si>
    <t>BASF SP</t>
  </si>
  <si>
    <t>2024:07:22</t>
  </si>
  <si>
    <t>Agronomics Demand Provider</t>
  </si>
  <si>
    <t>Krishi Farm Solutions</t>
  </si>
  <si>
    <t>Chambal Lucknow</t>
  </si>
  <si>
    <t>2024:07:25</t>
  </si>
  <si>
    <t>Chambal Agra</t>
  </si>
  <si>
    <t>Chambal Bareilly</t>
  </si>
  <si>
    <t>IFFCO Demand Provider</t>
  </si>
  <si>
    <t>2024:07:26</t>
  </si>
  <si>
    <t>Prabhakar Agencies</t>
  </si>
  <si>
    <t>2024:08:14</t>
  </si>
  <si>
    <t>Sri Raghavendra Agencies</t>
  </si>
  <si>
    <t>Ram Agro Agencies</t>
  </si>
  <si>
    <t>Ganesh krishi vikas kendra</t>
  </si>
  <si>
    <t>Raitanna Seeds And Pesticides</t>
  </si>
  <si>
    <t>Hanuman Agros</t>
  </si>
  <si>
    <t>Sri Ramachandra Agencies</t>
  </si>
  <si>
    <t>New Gandhi Krushi Kendra</t>
  </si>
  <si>
    <t>Krishi Beej Bhandar</t>
  </si>
  <si>
    <t>Sharana Agro Agencies</t>
  </si>
  <si>
    <t>Tanmai Marketing Corporation</t>
  </si>
  <si>
    <t>Sri Lakshmi Venkateswara Agro Traders</t>
  </si>
  <si>
    <t>Bharat Krishi Kendra</t>
  </si>
  <si>
    <t>Fowler Westrup Pvt Ltd</t>
  </si>
  <si>
    <t>2024:08:16</t>
  </si>
  <si>
    <t>Sri Raja Rajeshwari Traders</t>
  </si>
  <si>
    <t>2024:08:25</t>
  </si>
  <si>
    <t>General Aeronautics PI</t>
  </si>
  <si>
    <t>2024:09:19</t>
  </si>
  <si>
    <t>Demo Chatbot Customer</t>
  </si>
  <si>
    <t>2024:09:23</t>
  </si>
  <si>
    <t>Annadhata Agrospray</t>
  </si>
  <si>
    <t>2024:12:04</t>
  </si>
  <si>
    <t>Prajapati Tusharkumar Mukeshbhai Agriown</t>
  </si>
  <si>
    <t>2024:12:07</t>
  </si>
  <si>
    <t>Rahul Prajapati AgriOwn</t>
  </si>
  <si>
    <t>2025:01:17</t>
  </si>
  <si>
    <t>Tarence Naveen Dsouza</t>
  </si>
  <si>
    <t>Khetashi Arjan Chavada</t>
  </si>
  <si>
    <t>2025:02:03</t>
  </si>
  <si>
    <t>Ms Harlal Mathuralal</t>
  </si>
  <si>
    <t>2025:02:13</t>
  </si>
  <si>
    <t>Ravikumar Narasinhbhai Patel</t>
  </si>
  <si>
    <t>2025:02:16</t>
  </si>
  <si>
    <t>Rabari Kumabhai Thakarshi</t>
  </si>
  <si>
    <t>KailashBhai Rajeshkumar Mali</t>
  </si>
  <si>
    <t>2025:03:10</t>
  </si>
  <si>
    <t>Dhruv Parikh Jemix Droneops Ventures</t>
  </si>
  <si>
    <t>2025:03:21</t>
  </si>
  <si>
    <t>Jaydip Laljibhai Shikhaliya</t>
  </si>
  <si>
    <t>2025:05:31</t>
  </si>
  <si>
    <t>Charoliya Mahamadshabir Bashirbhai</t>
  </si>
  <si>
    <t>2025:06:23</t>
  </si>
  <si>
    <t>Faizur Sherasiya</t>
  </si>
  <si>
    <t>Vihan Patel</t>
  </si>
  <si>
    <t>2025:06:26</t>
  </si>
  <si>
    <t>Sagar Anil Londhe</t>
  </si>
  <si>
    <t>2025:06:30</t>
  </si>
  <si>
    <t>Olakiya Rohitkumar Mansukhbhai Agriown</t>
  </si>
  <si>
    <t>2025:07:04</t>
  </si>
  <si>
    <t>Mitalkumar Bhupendrakumar Bharatia Agriown</t>
  </si>
  <si>
    <t>Navnath Haribhau Warkar</t>
  </si>
  <si>
    <t>2025:07:09</t>
  </si>
  <si>
    <t>Mankind Pvt Ltd</t>
  </si>
  <si>
    <t>2025:07:25</t>
  </si>
  <si>
    <t>Program</t>
  </si>
  <si>
    <t>Vasanthbhai Pravinbhai Patel Agriown</t>
  </si>
  <si>
    <t>2025:08:06</t>
  </si>
  <si>
    <t>Solanki Hareshbhai Agriown</t>
  </si>
  <si>
    <t>2025:08:11</t>
  </si>
  <si>
    <t>Ankur</t>
  </si>
  <si>
    <t>2025:08:19</t>
  </si>
  <si>
    <t>Agriown Pvt Ltd</t>
  </si>
  <si>
    <t>2025:08:21</t>
  </si>
  <si>
    <t>I5 Air Aviation</t>
  </si>
  <si>
    <t>2025:08:28</t>
  </si>
  <si>
    <t>Eco Agrow Service Pune</t>
  </si>
  <si>
    <t>2025:09:05</t>
  </si>
  <si>
    <t>Vansh Sharma</t>
  </si>
  <si>
    <t>2025:09:16</t>
  </si>
  <si>
    <t>Rahul Kumar</t>
  </si>
  <si>
    <t>Greaves Cotton Ltd</t>
  </si>
  <si>
    <t>Kumari Laxmi Kushwaha</t>
  </si>
  <si>
    <t>Sonam Singh</t>
  </si>
  <si>
    <t>2025:09:17</t>
  </si>
  <si>
    <t>Rampur Maniharan Up</t>
  </si>
  <si>
    <t>2025:09:19</t>
  </si>
  <si>
    <t>BTOC</t>
  </si>
  <si>
    <t>2025:10:04</t>
  </si>
  <si>
    <t>BIOSTADT Pvt Ltd</t>
  </si>
  <si>
    <t>2025:10:07</t>
  </si>
  <si>
    <t>Tirthavana Haribhau Vadakar</t>
  </si>
  <si>
    <t>2025:10:28</t>
  </si>
  <si>
    <t>Virendra Kumar</t>
  </si>
  <si>
    <t>Mahamana Malviy Kissan Utpadak Sangathan Producer</t>
  </si>
  <si>
    <t>Alish Patel</t>
  </si>
  <si>
    <t>2025:12:19</t>
  </si>
  <si>
    <t>Garima</t>
  </si>
  <si>
    <t>2025:12:29</t>
  </si>
  <si>
    <t>Dumpala Dharma Rao</t>
  </si>
  <si>
    <t>2026:01:02</t>
  </si>
  <si>
    <t>Terrafly drone services LLP</t>
  </si>
  <si>
    <t>2026:02:18</t>
  </si>
  <si>
    <t>Ayush Singh</t>
  </si>
  <si>
    <t>Rutrust AgriGate India Private Limited</t>
  </si>
  <si>
    <t>2026:03:04</t>
  </si>
  <si>
    <t>client_name</t>
  </si>
  <si>
    <t>total_ticket_count</t>
  </si>
  <si>
    <t>crashed_ticket_count</t>
  </si>
  <si>
    <t>first_ticket_date</t>
  </si>
  <si>
    <t>last_ticket_date</t>
  </si>
  <si>
    <t>1784</t>
  </si>
  <si>
    <t>2023:12:16</t>
  </si>
  <si>
    <t>2026:05:05</t>
  </si>
  <si>
    <t>77</t>
  </si>
  <si>
    <t>2024:03:15</t>
  </si>
  <si>
    <t>2026:05:06</t>
  </si>
  <si>
    <t>126</t>
  </si>
  <si>
    <t>2024:08:09</t>
  </si>
  <si>
    <t>2026:04:25</t>
  </si>
  <si>
    <t>109</t>
  </si>
  <si>
    <t>2024:08:28</t>
  </si>
  <si>
    <t>2026:04:27</t>
  </si>
  <si>
    <t>4</t>
  </si>
  <si>
    <t>2023:10:11</t>
  </si>
  <si>
    <t>2024:12:13</t>
  </si>
  <si>
    <t>21</t>
  </si>
  <si>
    <t>2024:07:08</t>
  </si>
  <si>
    <t>10</t>
  </si>
  <si>
    <t>2023:07:04</t>
  </si>
  <si>
    <t>2026:04:24</t>
  </si>
  <si>
    <t>2024:01:20</t>
  </si>
  <si>
    <t>2026:01:11</t>
  </si>
  <si>
    <t>1</t>
  </si>
  <si>
    <t>2023:11:08</t>
  </si>
  <si>
    <t>2024:05:09</t>
  </si>
  <si>
    <t>5</t>
  </si>
  <si>
    <t>2024:02:10</t>
  </si>
  <si>
    <t>2026:04:28</t>
  </si>
  <si>
    <t>2025:01:30</t>
  </si>
  <si>
    <t>2026:01:21</t>
  </si>
  <si>
    <t>7</t>
  </si>
  <si>
    <t>2024:02:29</t>
  </si>
  <si>
    <t>2025:07:16</t>
  </si>
  <si>
    <t>Syngenta</t>
  </si>
  <si>
    <t>0</t>
  </si>
  <si>
    <t>2023:10:05</t>
  </si>
  <si>
    <t>2024:01:30</t>
  </si>
  <si>
    <t>Navnath haribhau warkar</t>
  </si>
  <si>
    <t>3</t>
  </si>
  <si>
    <t>2025:07:29</t>
  </si>
  <si>
    <t>9</t>
  </si>
  <si>
    <t>2024:12:19</t>
  </si>
  <si>
    <t>2025:05:05</t>
  </si>
  <si>
    <t>2024:07:16</t>
  </si>
  <si>
    <t>2026:02:09</t>
  </si>
  <si>
    <t>2024:07:28</t>
  </si>
  <si>
    <t>2025:11:12</t>
  </si>
  <si>
    <t>Krishi Farm solutions</t>
  </si>
  <si>
    <t>2024:08:10</t>
  </si>
  <si>
    <t>2024:12:16</t>
  </si>
  <si>
    <t>ANNADHATA AGROSPRAY</t>
  </si>
  <si>
    <t>2024:11:29</t>
  </si>
  <si>
    <t>2025:11:25</t>
  </si>
  <si>
    <t>2024:05:15</t>
  </si>
  <si>
    <t>2024:11:22</t>
  </si>
  <si>
    <t>2024:04:12</t>
  </si>
  <si>
    <t>2024:07:02</t>
  </si>
  <si>
    <t>2</t>
  </si>
  <si>
    <t>2026:04:09</t>
  </si>
  <si>
    <t>2026:05:03</t>
  </si>
  <si>
    <t>2024:08:21</t>
  </si>
  <si>
    <t>2024:10:01</t>
  </si>
  <si>
    <t>2025:10:03</t>
  </si>
  <si>
    <t>2026:04:10</t>
  </si>
  <si>
    <t>2025:04:05</t>
  </si>
  <si>
    <t>2025:06:19</t>
  </si>
  <si>
    <t>2024:04:14</t>
  </si>
  <si>
    <t>2025:02:17</t>
  </si>
  <si>
    <t>2026:01:07</t>
  </si>
  <si>
    <t>2026:04:20</t>
  </si>
  <si>
    <t>2024:10:23</t>
  </si>
  <si>
    <t>2025:02:01</t>
  </si>
  <si>
    <t>PRAJAPATI TUSHARKUMAR MUKESHBHAI Agriown</t>
  </si>
  <si>
    <t>2025:08:03</t>
  </si>
  <si>
    <t>GT</t>
  </si>
  <si>
    <t>2023:10:18</t>
  </si>
  <si>
    <t>2023:12:23</t>
  </si>
  <si>
    <t>HANUMAN AGROS</t>
  </si>
  <si>
    <t>2024:09:11</t>
  </si>
  <si>
    <t>2025:09:30</t>
  </si>
  <si>
    <t>2025:12:22</t>
  </si>
  <si>
    <t>2026:04:02</t>
  </si>
  <si>
    <t>2025:11:02</t>
  </si>
  <si>
    <t>2026:02:15</t>
  </si>
  <si>
    <t>Kumari laxmi kushwaha CMYUVA</t>
  </si>
  <si>
    <t>2025:10:10</t>
  </si>
  <si>
    <t>2025:12:05</t>
  </si>
  <si>
    <t>Agriown Farmtech Pvt Ltd</t>
  </si>
  <si>
    <t>2025:01:08</t>
  </si>
  <si>
    <t>2025:06:24</t>
  </si>
  <si>
    <t>2026:04:04</t>
  </si>
  <si>
    <t>2025:07:14</t>
  </si>
  <si>
    <t>2026:01:10</t>
  </si>
  <si>
    <t>2024:06:11</t>
  </si>
  <si>
    <t>2024:06:15</t>
  </si>
  <si>
    <t>2025:12:04</t>
  </si>
  <si>
    <t>2026:01:28</t>
  </si>
  <si>
    <t>2025:08:27</t>
  </si>
  <si>
    <t>2025:11:30</t>
  </si>
  <si>
    <t>olakiya rohitkumar mansukhbhai Agriown</t>
  </si>
  <si>
    <t>2025:07:24</t>
  </si>
  <si>
    <t>2024:09:10</t>
  </si>
  <si>
    <t>2024:12:15</t>
  </si>
  <si>
    <t>BHARAT KRISHI KENDRA</t>
  </si>
  <si>
    <t>2024:09:12</t>
  </si>
  <si>
    <t>2024:09:13</t>
  </si>
  <si>
    <t>Argonomics</t>
  </si>
  <si>
    <t>2024:01:19</t>
  </si>
  <si>
    <t>2024:02:07</t>
  </si>
  <si>
    <t>2024:05:06</t>
  </si>
  <si>
    <t>PRABHAKAR AGENCIES</t>
  </si>
  <si>
    <t>KRISHI BEEJ BHANDAR</t>
  </si>
  <si>
    <t>2024:09:29</t>
  </si>
  <si>
    <t>Vansh Sharma Upicorn</t>
  </si>
  <si>
    <t>2025:10:25</t>
  </si>
  <si>
    <t>AFF ( Vinay )</t>
  </si>
  <si>
    <t>2025:04:15</t>
  </si>
  <si>
    <t>Ankur CMYUVA</t>
  </si>
  <si>
    <t>2025:09:28</t>
  </si>
  <si>
    <t>Ankur kumar</t>
  </si>
  <si>
    <t>2025:08:25</t>
  </si>
  <si>
    <t>2025:08:22</t>
  </si>
  <si>
    <t>drone 44444</t>
  </si>
  <si>
    <t>2023:12:18</t>
  </si>
  <si>
    <t>Indian institute of water management</t>
  </si>
  <si>
    <t>2024:09:05</t>
  </si>
  <si>
    <t>SYNGENTA INDIA LTD</t>
  </si>
  <si>
    <t>2024:04:18</t>
  </si>
  <si>
    <t>drone_code</t>
  </si>
  <si>
    <t>drone_type_name</t>
  </si>
  <si>
    <t>customer_name</t>
  </si>
  <si>
    <t>admin_name</t>
  </si>
  <si>
    <t>admin_number</t>
  </si>
  <si>
    <t>total_flight_time</t>
  </si>
  <si>
    <t>total_flight_time_minutes</t>
  </si>
  <si>
    <t>total_area_covered_acres</t>
  </si>
  <si>
    <t>customer_id_created_date</t>
  </si>
  <si>
    <t>Time to first ticket</t>
  </si>
  <si>
    <t>KAS00068</t>
  </si>
  <si>
    <t>Krishak</t>
  </si>
  <si>
    <t>Chalapathi</t>
  </si>
  <si>
    <t>8658282605</t>
  </si>
  <si>
    <t>10:34:18</t>
  </si>
  <si>
    <t>6.76</t>
  </si>
  <si>
    <t>KEN00005</t>
  </si>
  <si>
    <t>Uttam Madhukar</t>
  </si>
  <si>
    <t>9545553749</t>
  </si>
  <si>
    <t>06:07:28</t>
  </si>
  <si>
    <t>11.53</t>
  </si>
  <si>
    <t>KAS00046</t>
  </si>
  <si>
    <t>Vinod Admin TAFE</t>
  </si>
  <si>
    <t>9988779988</t>
  </si>
  <si>
    <t>NULL</t>
  </si>
  <si>
    <t>1i_PT03</t>
  </si>
  <si>
    <t>Krishak1i</t>
  </si>
  <si>
    <t>IFFCO Admin</t>
  </si>
  <si>
    <t>9820914808</t>
  </si>
  <si>
    <t>05:39:23</t>
  </si>
  <si>
    <t>7.31</t>
  </si>
  <si>
    <t>KAS00015</t>
  </si>
  <si>
    <t>Panghal Deepak</t>
  </si>
  <si>
    <t>9999338032</t>
  </si>
  <si>
    <t>00:26:15</t>
  </si>
  <si>
    <t>KAS00009</t>
  </si>
  <si>
    <t>Vidya H S</t>
  </si>
  <si>
    <t>9900546939</t>
  </si>
  <si>
    <t>00:33:48</t>
  </si>
  <si>
    <t>KAS00032</t>
  </si>
  <si>
    <t>00:27:29</t>
  </si>
  <si>
    <t>KAS00021</t>
  </si>
  <si>
    <t>01:12:43</t>
  </si>
  <si>
    <t>KAS00065</t>
  </si>
  <si>
    <t>KAS00019</t>
  </si>
  <si>
    <t>00:50:56</t>
  </si>
  <si>
    <t>KAS00051</t>
  </si>
  <si>
    <t>00:09:56</t>
  </si>
  <si>
    <t>KAS00047</t>
  </si>
  <si>
    <t>KAS00044</t>
  </si>
  <si>
    <t>Rohith Admin Bayer</t>
  </si>
  <si>
    <t>9785675456</t>
  </si>
  <si>
    <t>03:12:49</t>
  </si>
  <si>
    <t>6.45</t>
  </si>
  <si>
    <t>KAS00022</t>
  </si>
  <si>
    <t>KAS00013</t>
  </si>
  <si>
    <t>KAS00061</t>
  </si>
  <si>
    <t>00:33:00</t>
  </si>
  <si>
    <t>KAS00027</t>
  </si>
  <si>
    <t>Bhanu Pratap Joshi</t>
  </si>
  <si>
    <t>7685456565</t>
  </si>
  <si>
    <t>KAS00042</t>
  </si>
  <si>
    <t>KAS00081</t>
  </si>
  <si>
    <t>00:19:22</t>
  </si>
  <si>
    <t>KAS00082</t>
  </si>
  <si>
    <t>KAS00083</t>
  </si>
  <si>
    <t>00:47:13</t>
  </si>
  <si>
    <t>KAS00005</t>
  </si>
  <si>
    <t>00:57:40</t>
  </si>
  <si>
    <t>KAS00038</t>
  </si>
  <si>
    <t>00:28:36</t>
  </si>
  <si>
    <t>KAS00012</t>
  </si>
  <si>
    <t>KAS00057</t>
  </si>
  <si>
    <t>Triveni Admin Pii</t>
  </si>
  <si>
    <t>9786575676</t>
  </si>
  <si>
    <t>KAS00031</t>
  </si>
  <si>
    <t>00:39:12</t>
  </si>
  <si>
    <t>KAS00025</t>
  </si>
  <si>
    <t>KAS00064</t>
  </si>
  <si>
    <t>K1i00003</t>
  </si>
  <si>
    <t>Vinay Kumar Kavali</t>
  </si>
  <si>
    <t>8142754370</t>
  </si>
  <si>
    <t>K1i00004</t>
  </si>
  <si>
    <t>96:00:14</t>
  </si>
  <si>
    <t>393.01</t>
  </si>
  <si>
    <t>K1i00005</t>
  </si>
  <si>
    <t>89:58:25</t>
  </si>
  <si>
    <t>-1899.24</t>
  </si>
  <si>
    <t>K1i00006</t>
  </si>
  <si>
    <t>45:08:47</t>
  </si>
  <si>
    <t>294.28</t>
  </si>
  <si>
    <t>K1i00007</t>
  </si>
  <si>
    <t>138:57:11</t>
  </si>
  <si>
    <t>761.25</t>
  </si>
  <si>
    <t>K1i00008</t>
  </si>
  <si>
    <t>190:24:48</t>
  </si>
  <si>
    <t>1796.62</t>
  </si>
  <si>
    <t>K1i00022</t>
  </si>
  <si>
    <t>142:55:05</t>
  </si>
  <si>
    <t>1683.71</t>
  </si>
  <si>
    <t>K1i00021</t>
  </si>
  <si>
    <t>46:27:28</t>
  </si>
  <si>
    <t>339.85</t>
  </si>
  <si>
    <t>K1i00019</t>
  </si>
  <si>
    <t>53:08:13</t>
  </si>
  <si>
    <t>86080628279.03</t>
  </si>
  <si>
    <t>K1i00018</t>
  </si>
  <si>
    <t>45:48:18</t>
  </si>
  <si>
    <t>418.23</t>
  </si>
  <si>
    <t>K1i00016</t>
  </si>
  <si>
    <t>29:25:12</t>
  </si>
  <si>
    <t>232.99</t>
  </si>
  <si>
    <t>K1i00015</t>
  </si>
  <si>
    <t>67:10:55</t>
  </si>
  <si>
    <t>46209898.47</t>
  </si>
  <si>
    <t>K1i00014</t>
  </si>
  <si>
    <t>50:34:36</t>
  </si>
  <si>
    <t>394.14</t>
  </si>
  <si>
    <t>K1i00013</t>
  </si>
  <si>
    <t>174:54:19</t>
  </si>
  <si>
    <t>1309.16</t>
  </si>
  <si>
    <t>K1i00012</t>
  </si>
  <si>
    <t>109:19:58</t>
  </si>
  <si>
    <t>918.26</t>
  </si>
  <si>
    <t>K1i00011</t>
  </si>
  <si>
    <t>141:33:26</t>
  </si>
  <si>
    <t>1593.24</t>
  </si>
  <si>
    <t>K1i00010</t>
  </si>
  <si>
    <t>89:02:37</t>
  </si>
  <si>
    <t>513.23</t>
  </si>
  <si>
    <t>K1i00020</t>
  </si>
  <si>
    <t>01:52:26</t>
  </si>
  <si>
    <t>3.36</t>
  </si>
  <si>
    <t>K1i00009</t>
  </si>
  <si>
    <t>17:48:37</t>
  </si>
  <si>
    <t>76.29</t>
  </si>
  <si>
    <t>K1i00025</t>
  </si>
  <si>
    <t>39:00:39</t>
  </si>
  <si>
    <t>179.13</t>
  </si>
  <si>
    <t>K1i00034</t>
  </si>
  <si>
    <t>53:33:29</t>
  </si>
  <si>
    <t>221.58</t>
  </si>
  <si>
    <t>K1i00033</t>
  </si>
  <si>
    <t>Anil</t>
  </si>
  <si>
    <t>7356444533</t>
  </si>
  <si>
    <t>43:49:19</t>
  </si>
  <si>
    <t>413.1</t>
  </si>
  <si>
    <t>K1i00032</t>
  </si>
  <si>
    <t>59:42:06</t>
  </si>
  <si>
    <t>258.56</t>
  </si>
  <si>
    <t>K1i00031</t>
  </si>
  <si>
    <t>Abhinav</t>
  </si>
  <si>
    <t>8448820535</t>
  </si>
  <si>
    <t>K1i00030</t>
  </si>
  <si>
    <t>85:42:11</t>
  </si>
  <si>
    <t>470.37</t>
  </si>
  <si>
    <t>K1i00029</t>
  </si>
  <si>
    <t>52:27:41</t>
  </si>
  <si>
    <t>104368842.61</t>
  </si>
  <si>
    <t>K1i00028</t>
  </si>
  <si>
    <t>106:16:01</t>
  </si>
  <si>
    <t>749.88</t>
  </si>
  <si>
    <t>K1i00027</t>
  </si>
  <si>
    <t>27:31:38</t>
  </si>
  <si>
    <t>117.27</t>
  </si>
  <si>
    <t>K1i00024</t>
  </si>
  <si>
    <t>06:57:16</t>
  </si>
  <si>
    <t>35.4</t>
  </si>
  <si>
    <t>K1i00055</t>
  </si>
  <si>
    <t>12:24:30</t>
  </si>
  <si>
    <t>29.58</t>
  </si>
  <si>
    <t>K1i00054</t>
  </si>
  <si>
    <t>119:38:54</t>
  </si>
  <si>
    <t>1148.7</t>
  </si>
  <si>
    <t>K1i00053</t>
  </si>
  <si>
    <t>85:34:34</t>
  </si>
  <si>
    <t>1553.37</t>
  </si>
  <si>
    <t>K1i00052</t>
  </si>
  <si>
    <t>67:12:41</t>
  </si>
  <si>
    <t>452.6</t>
  </si>
  <si>
    <t>K1i00051</t>
  </si>
  <si>
    <t>100:42:50</t>
  </si>
  <si>
    <t>710.66</t>
  </si>
  <si>
    <t>K1i00050</t>
  </si>
  <si>
    <t>54:45:10</t>
  </si>
  <si>
    <t>425.64</t>
  </si>
  <si>
    <t>K1i00045</t>
  </si>
  <si>
    <t>Nikesh Bakliwal</t>
  </si>
  <si>
    <t>7665253999</t>
  </si>
  <si>
    <t>04:07:10</t>
  </si>
  <si>
    <t>3.74</t>
  </si>
  <si>
    <t>K1i00044</t>
  </si>
  <si>
    <t>06:54:19</t>
  </si>
  <si>
    <t>38.07</t>
  </si>
  <si>
    <t>K1i00043</t>
  </si>
  <si>
    <t>02:59:37</t>
  </si>
  <si>
    <t>2.87</t>
  </si>
  <si>
    <t>K1i00049</t>
  </si>
  <si>
    <t>28:34:11</t>
  </si>
  <si>
    <t>123.07</t>
  </si>
  <si>
    <t>K1i00042</t>
  </si>
  <si>
    <t>01:16:28</t>
  </si>
  <si>
    <t>1.82</t>
  </si>
  <si>
    <t>K1i00041</t>
  </si>
  <si>
    <t>00:03:22</t>
  </si>
  <si>
    <t>K1i00040</t>
  </si>
  <si>
    <t>01:20:19</t>
  </si>
  <si>
    <t>0.37</t>
  </si>
  <si>
    <t>K1i00039</t>
  </si>
  <si>
    <t>08:37:22</t>
  </si>
  <si>
    <t>39.1</t>
  </si>
  <si>
    <t>K1i00037</t>
  </si>
  <si>
    <t>Mr. Pradeep Kumar</t>
  </si>
  <si>
    <t>9610765474</t>
  </si>
  <si>
    <t>14:09:34</t>
  </si>
  <si>
    <t>80.59</t>
  </si>
  <si>
    <t>K1i00036</t>
  </si>
  <si>
    <t>04:02:30</t>
  </si>
  <si>
    <t>6.97</t>
  </si>
  <si>
    <t>K1i00035</t>
  </si>
  <si>
    <t>07:14:10</t>
  </si>
  <si>
    <t>41.41</t>
  </si>
  <si>
    <t>K1i00046</t>
  </si>
  <si>
    <t>15:00:34</t>
  </si>
  <si>
    <t>73.67</t>
  </si>
  <si>
    <t>K1i00023</t>
  </si>
  <si>
    <t>69:08:22</t>
  </si>
  <si>
    <t>655.09</t>
  </si>
  <si>
    <t>K1i00038</t>
  </si>
  <si>
    <t>03:41:14</t>
  </si>
  <si>
    <t>18.26</t>
  </si>
  <si>
    <t>K1i00047</t>
  </si>
  <si>
    <t>158:06:34</t>
  </si>
  <si>
    <t>4597.43</t>
  </si>
  <si>
    <t>K1i00048</t>
  </si>
  <si>
    <t>81:28:22</t>
  </si>
  <si>
    <t>935.78</t>
  </si>
  <si>
    <t>K1i00056</t>
  </si>
  <si>
    <t>88:18:52</t>
  </si>
  <si>
    <t>606.13</t>
  </si>
  <si>
    <t>K1i00057</t>
  </si>
  <si>
    <t>68:32:45</t>
  </si>
  <si>
    <t>598.13</t>
  </si>
  <si>
    <t>K1i00058</t>
  </si>
  <si>
    <t>Mr. Pankaj</t>
  </si>
  <si>
    <t>9928023846</t>
  </si>
  <si>
    <t>04:30:15</t>
  </si>
  <si>
    <t>13.6</t>
  </si>
  <si>
    <t>K1i00059</t>
  </si>
  <si>
    <t>K1i00060</t>
  </si>
  <si>
    <t>24:44:25</t>
  </si>
  <si>
    <t>227.92</t>
  </si>
  <si>
    <t>K1i00069</t>
  </si>
  <si>
    <t>22:07:48</t>
  </si>
  <si>
    <t>198.71</t>
  </si>
  <si>
    <t>K1i00068</t>
  </si>
  <si>
    <t>01:56:07</t>
  </si>
  <si>
    <t>K1i00067</t>
  </si>
  <si>
    <t>49:09:57</t>
  </si>
  <si>
    <t>34458793062.76</t>
  </si>
  <si>
    <t>K1i00066</t>
  </si>
  <si>
    <t>60:44:53</t>
  </si>
  <si>
    <t>373.8</t>
  </si>
  <si>
    <t>K1i00065</t>
  </si>
  <si>
    <t>32:41:12</t>
  </si>
  <si>
    <t>362.83</t>
  </si>
  <si>
    <t>K1i00064</t>
  </si>
  <si>
    <t>14:10:56</t>
  </si>
  <si>
    <t>71.52</t>
  </si>
  <si>
    <t>K1i00063</t>
  </si>
  <si>
    <t>41:03:50</t>
  </si>
  <si>
    <t>171.15</t>
  </si>
  <si>
    <t>K1i00062</t>
  </si>
  <si>
    <t>28:57:27</t>
  </si>
  <si>
    <t>191.1</t>
  </si>
  <si>
    <t>K1i00070</t>
  </si>
  <si>
    <t>03:17:19</t>
  </si>
  <si>
    <t>10.37</t>
  </si>
  <si>
    <t>K1i00061</t>
  </si>
  <si>
    <t>00:27:36</t>
  </si>
  <si>
    <t>1.49</t>
  </si>
  <si>
    <t>K1i00079</t>
  </si>
  <si>
    <t>29:43:24</t>
  </si>
  <si>
    <t>321.03</t>
  </si>
  <si>
    <t>K1i00077</t>
  </si>
  <si>
    <t>00:30:11</t>
  </si>
  <si>
    <t>0.07</t>
  </si>
  <si>
    <t>K1i00076</t>
  </si>
  <si>
    <t>02:51:58</t>
  </si>
  <si>
    <t>0.9</t>
  </si>
  <si>
    <t>K1i00075</t>
  </si>
  <si>
    <t>52:26:13</t>
  </si>
  <si>
    <t>321.96</t>
  </si>
  <si>
    <t>K1i00074</t>
  </si>
  <si>
    <t>49:52:15</t>
  </si>
  <si>
    <t>367.6</t>
  </si>
  <si>
    <t>K1i00073</t>
  </si>
  <si>
    <t>40:34:17</t>
  </si>
  <si>
    <t>324.59</t>
  </si>
  <si>
    <t>K1i00072</t>
  </si>
  <si>
    <t>94:52:16</t>
  </si>
  <si>
    <t>621.61</t>
  </si>
  <si>
    <t>K1i00078</t>
  </si>
  <si>
    <t>23:58:18</t>
  </si>
  <si>
    <t>167.44</t>
  </si>
  <si>
    <t>K1i00071</t>
  </si>
  <si>
    <t>11:38:21</t>
  </si>
  <si>
    <t>64.32</t>
  </si>
  <si>
    <t>K1i00080</t>
  </si>
  <si>
    <t>31:44:36</t>
  </si>
  <si>
    <t>197.86</t>
  </si>
  <si>
    <t>K1i00090</t>
  </si>
  <si>
    <t>12:30:28</t>
  </si>
  <si>
    <t>44.83</t>
  </si>
  <si>
    <t>K1i00089</t>
  </si>
  <si>
    <t>69:23:08</t>
  </si>
  <si>
    <t>239.57</t>
  </si>
  <si>
    <t>K1i00088</t>
  </si>
  <si>
    <t>50:02:41</t>
  </si>
  <si>
    <t>391.38</t>
  </si>
  <si>
    <t>K1i00087</t>
  </si>
  <si>
    <t>13:10:13</t>
  </si>
  <si>
    <t>68.74</t>
  </si>
  <si>
    <t>K1i00086</t>
  </si>
  <si>
    <t>14:46:02</t>
  </si>
  <si>
    <t>47.37</t>
  </si>
  <si>
    <t>K1i00084</t>
  </si>
  <si>
    <t>154:46:00</t>
  </si>
  <si>
    <t>1476.99</t>
  </si>
  <si>
    <t>K1i00083</t>
  </si>
  <si>
    <t>116:15:31</t>
  </si>
  <si>
    <t>778.71</t>
  </si>
  <si>
    <t>K1i00082</t>
  </si>
  <si>
    <t>123:16:19</t>
  </si>
  <si>
    <t>974.77</t>
  </si>
  <si>
    <t>K1i00081</t>
  </si>
  <si>
    <t>08:23:11</t>
  </si>
  <si>
    <t>32.99</t>
  </si>
  <si>
    <t>K1i00085</t>
  </si>
  <si>
    <t>126:14:42</t>
  </si>
  <si>
    <t>719.76</t>
  </si>
  <si>
    <t>K1i00099</t>
  </si>
  <si>
    <t>44:40:20</t>
  </si>
  <si>
    <t>369.29</t>
  </si>
  <si>
    <t>K1i00098</t>
  </si>
  <si>
    <t>Shonu George</t>
  </si>
  <si>
    <t>9824004651</t>
  </si>
  <si>
    <t>00:59:32</t>
  </si>
  <si>
    <t>0.84</t>
  </si>
  <si>
    <t>K1i00096</t>
  </si>
  <si>
    <t>71:49:32</t>
  </si>
  <si>
    <t>938.46</t>
  </si>
  <si>
    <t>K1i00095</t>
  </si>
  <si>
    <t>50:16:49</t>
  </si>
  <si>
    <t>273.21</t>
  </si>
  <si>
    <t>K1i00094</t>
  </si>
  <si>
    <t>00:22:59</t>
  </si>
  <si>
    <t>0.4</t>
  </si>
  <si>
    <t>K1i00093</t>
  </si>
  <si>
    <t>267:19:46</t>
  </si>
  <si>
    <t>2766.24</t>
  </si>
  <si>
    <t>K1i00097</t>
  </si>
  <si>
    <t>60:54:47</t>
  </si>
  <si>
    <t>554.3</t>
  </si>
  <si>
    <t>K1i00091</t>
  </si>
  <si>
    <t>72:03:52</t>
  </si>
  <si>
    <t>565.53</t>
  </si>
  <si>
    <t>K1i00111</t>
  </si>
  <si>
    <t>175:06:10</t>
  </si>
  <si>
    <t>1423.02</t>
  </si>
  <si>
    <t>K1i00110</t>
  </si>
  <si>
    <t>18:15:47</t>
  </si>
  <si>
    <t>102.59</t>
  </si>
  <si>
    <t>K1i00108</t>
  </si>
  <si>
    <t>15:28:41</t>
  </si>
  <si>
    <t>11.88</t>
  </si>
  <si>
    <t>K1i00107</t>
  </si>
  <si>
    <t>49:50:56</t>
  </si>
  <si>
    <t>453.78</t>
  </si>
  <si>
    <t>K1i00106</t>
  </si>
  <si>
    <t>08:02:52</t>
  </si>
  <si>
    <t>20.37</t>
  </si>
  <si>
    <t>K1i00105</t>
  </si>
  <si>
    <t>05:03:01</t>
  </si>
  <si>
    <t>9.54</t>
  </si>
  <si>
    <t>K1i00104</t>
  </si>
  <si>
    <t>40:49:31</t>
  </si>
  <si>
    <t>328.31</t>
  </si>
  <si>
    <t>K1i00103</t>
  </si>
  <si>
    <t>31:50:33</t>
  </si>
  <si>
    <t>60.93</t>
  </si>
  <si>
    <t>K1i00102</t>
  </si>
  <si>
    <t>134:13:17</t>
  </si>
  <si>
    <t>781.21</t>
  </si>
  <si>
    <t>K1i00101</t>
  </si>
  <si>
    <t>74:31:22</t>
  </si>
  <si>
    <t>696.91</t>
  </si>
  <si>
    <t>K1i00100</t>
  </si>
  <si>
    <t>01:09:05</t>
  </si>
  <si>
    <t>0.32</t>
  </si>
  <si>
    <t>K1i00109</t>
  </si>
  <si>
    <t>52:27:30</t>
  </si>
  <si>
    <t>368.58</t>
  </si>
  <si>
    <t>K1i00113</t>
  </si>
  <si>
    <t>53:32:35</t>
  </si>
  <si>
    <t>313.23</t>
  </si>
  <si>
    <t>K1i00112</t>
  </si>
  <si>
    <t>43:52:01</t>
  </si>
  <si>
    <t>263.07</t>
  </si>
  <si>
    <t>K1i00115</t>
  </si>
  <si>
    <t>08:58:26</t>
  </si>
  <si>
    <t>65.56</t>
  </si>
  <si>
    <t>K1i00114</t>
  </si>
  <si>
    <t>28:07:39</t>
  </si>
  <si>
    <t>116.34</t>
  </si>
  <si>
    <t>K1i00117</t>
  </si>
  <si>
    <t>24:39:39</t>
  </si>
  <si>
    <t>181.07</t>
  </si>
  <si>
    <t>K1i00118</t>
  </si>
  <si>
    <t>20:13:32</t>
  </si>
  <si>
    <t>80.39</t>
  </si>
  <si>
    <t>K1i00116</t>
  </si>
  <si>
    <t>144:59:58</t>
  </si>
  <si>
    <t>1342.3</t>
  </si>
  <si>
    <t>K1i00131</t>
  </si>
  <si>
    <t>02:04:27</t>
  </si>
  <si>
    <t>3.63</t>
  </si>
  <si>
    <t>K1i00130</t>
  </si>
  <si>
    <t>17:36:46</t>
  </si>
  <si>
    <t>89.4</t>
  </si>
  <si>
    <t>K1i00126</t>
  </si>
  <si>
    <t>97:51:42</t>
  </si>
  <si>
    <t>484.42</t>
  </si>
  <si>
    <t>K1i00125</t>
  </si>
  <si>
    <t>11:41:33</t>
  </si>
  <si>
    <t>61.35</t>
  </si>
  <si>
    <t>K1i00124</t>
  </si>
  <si>
    <t>20:07:41</t>
  </si>
  <si>
    <t>68.27</t>
  </si>
  <si>
    <t>K1i00123</t>
  </si>
  <si>
    <t>138:11:55</t>
  </si>
  <si>
    <t>997.22</t>
  </si>
  <si>
    <t>K1i00119</t>
  </si>
  <si>
    <t>03:05:19</t>
  </si>
  <si>
    <t>K1i00129</t>
  </si>
  <si>
    <t>104:46:33</t>
  </si>
  <si>
    <t>706.29</t>
  </si>
  <si>
    <t>K1i00128</t>
  </si>
  <si>
    <t>15:04:02</t>
  </si>
  <si>
    <t>65.67</t>
  </si>
  <si>
    <t>K1i00120</t>
  </si>
  <si>
    <t>04:46:41</t>
  </si>
  <si>
    <t>1.41</t>
  </si>
  <si>
    <t>K1i00127</t>
  </si>
  <si>
    <t>23:00:59</t>
  </si>
  <si>
    <t>3048.07</t>
  </si>
  <si>
    <t>K1i00121</t>
  </si>
  <si>
    <t>96:19:38</t>
  </si>
  <si>
    <t>638692906.94</t>
  </si>
  <si>
    <t>K1i00132</t>
  </si>
  <si>
    <t>27:30:45</t>
  </si>
  <si>
    <t>130.32</t>
  </si>
  <si>
    <t>K1i00133</t>
  </si>
  <si>
    <t>07:59:07</t>
  </si>
  <si>
    <t>22.71</t>
  </si>
  <si>
    <t>K1i00122</t>
  </si>
  <si>
    <t>33:12:26</t>
  </si>
  <si>
    <t>230.49</t>
  </si>
  <si>
    <t>K1i00136</t>
  </si>
  <si>
    <t>70:12:55</t>
  </si>
  <si>
    <t>685.06</t>
  </si>
  <si>
    <t>K1i00135</t>
  </si>
  <si>
    <t>03:41:27</t>
  </si>
  <si>
    <t>14.83</t>
  </si>
  <si>
    <t>K1i00134</t>
  </si>
  <si>
    <t>47:11:39</t>
  </si>
  <si>
    <t>131.22</t>
  </si>
  <si>
    <t>K1i00140</t>
  </si>
  <si>
    <t>22:14:33</t>
  </si>
  <si>
    <t>72.9</t>
  </si>
  <si>
    <t>K1i00139</t>
  </si>
  <si>
    <t>25:57:53</t>
  </si>
  <si>
    <t>138.59</t>
  </si>
  <si>
    <t>K1i00138</t>
  </si>
  <si>
    <t>10:45:18</t>
  </si>
  <si>
    <t>5156337.19</t>
  </si>
  <si>
    <t>K1i00155</t>
  </si>
  <si>
    <t>86:20:00</t>
  </si>
  <si>
    <t>319.98</t>
  </si>
  <si>
    <t>K1i00154</t>
  </si>
  <si>
    <t>24:09:07</t>
  </si>
  <si>
    <t>104.75</t>
  </si>
  <si>
    <t>K1i00153</t>
  </si>
  <si>
    <t>10:04:52</t>
  </si>
  <si>
    <t>13.19</t>
  </si>
  <si>
    <t>K1i00152</t>
  </si>
  <si>
    <t>71:02:39</t>
  </si>
  <si>
    <t>1154.09</t>
  </si>
  <si>
    <t>K1i00150</t>
  </si>
  <si>
    <t>44:48:01</t>
  </si>
  <si>
    <t>375.59</t>
  </si>
  <si>
    <t>K1i00149</t>
  </si>
  <si>
    <t>02:41:58</t>
  </si>
  <si>
    <t>2048609180.26</t>
  </si>
  <si>
    <t>K1i00148</t>
  </si>
  <si>
    <t>133:04:18</t>
  </si>
  <si>
    <t>339.9</t>
  </si>
  <si>
    <t>K1i00146</t>
  </si>
  <si>
    <t>24:17:41</t>
  </si>
  <si>
    <t>155.39</t>
  </si>
  <si>
    <t>K1i00145</t>
  </si>
  <si>
    <t>09:10:50</t>
  </si>
  <si>
    <t>48.44</t>
  </si>
  <si>
    <t>K1i00143</t>
  </si>
  <si>
    <t>09:37:13</t>
  </si>
  <si>
    <t>45.06</t>
  </si>
  <si>
    <t>K1i00142</t>
  </si>
  <si>
    <t>119:19:20</t>
  </si>
  <si>
    <t>708.56</t>
  </si>
  <si>
    <t>K1i00141</t>
  </si>
  <si>
    <t>18:00:30</t>
  </si>
  <si>
    <t>1.97</t>
  </si>
  <si>
    <t>K1i00147</t>
  </si>
  <si>
    <t>02:29:56</t>
  </si>
  <si>
    <t>K1i00144</t>
  </si>
  <si>
    <t>39:00:15</t>
  </si>
  <si>
    <t>383.5</t>
  </si>
  <si>
    <t>K1i00151</t>
  </si>
  <si>
    <t>56:20:29</t>
  </si>
  <si>
    <t>208.12</t>
  </si>
  <si>
    <t>K1i00160</t>
  </si>
  <si>
    <t>19:35:19</t>
  </si>
  <si>
    <t>108.01</t>
  </si>
  <si>
    <t>K1i00159</t>
  </si>
  <si>
    <t>36:58:49</t>
  </si>
  <si>
    <t>210.64</t>
  </si>
  <si>
    <t>K1i00158</t>
  </si>
  <si>
    <t>Vimal Sharma</t>
  </si>
  <si>
    <t>9033723386</t>
  </si>
  <si>
    <t>K1i00157</t>
  </si>
  <si>
    <t>133:09:53</t>
  </si>
  <si>
    <t>1524.72</t>
  </si>
  <si>
    <t>K1i00156</t>
  </si>
  <si>
    <t>43:58:26</t>
  </si>
  <si>
    <t>28105099670915.3</t>
  </si>
  <si>
    <t>K1i00184</t>
  </si>
  <si>
    <t>12:33:51</t>
  </si>
  <si>
    <t>K1i00182</t>
  </si>
  <si>
    <t>123:29:05</t>
  </si>
  <si>
    <t>768.95</t>
  </si>
  <si>
    <t>K1i00181</t>
  </si>
  <si>
    <t>K1i00183</t>
  </si>
  <si>
    <t>132:11:08</t>
  </si>
  <si>
    <t>4955796995.04</t>
  </si>
  <si>
    <t>K1i00179</t>
  </si>
  <si>
    <t>07:57:20</t>
  </si>
  <si>
    <t>19.43</t>
  </si>
  <si>
    <t>K1i00175</t>
  </si>
  <si>
    <t>28:44:56</t>
  </si>
  <si>
    <t>199.57</t>
  </si>
  <si>
    <t>K1i00174</t>
  </si>
  <si>
    <t>20:30:58</t>
  </si>
  <si>
    <t>107.39</t>
  </si>
  <si>
    <t>K1i00172</t>
  </si>
  <si>
    <t>06:34:00</t>
  </si>
  <si>
    <t>21.93</t>
  </si>
  <si>
    <t>K1i00171</t>
  </si>
  <si>
    <t>97:53:42</t>
  </si>
  <si>
    <t>760.75</t>
  </si>
  <si>
    <t>K1i00170</t>
  </si>
  <si>
    <t>34:33:01</t>
  </si>
  <si>
    <t>242.06</t>
  </si>
  <si>
    <t>K1i00167</t>
  </si>
  <si>
    <t>53:31:09</t>
  </si>
  <si>
    <t>509.27</t>
  </si>
  <si>
    <t>K1i00166</t>
  </si>
  <si>
    <t>87:40:30</t>
  </si>
  <si>
    <t>890.86</t>
  </si>
  <si>
    <t>K1i00165</t>
  </si>
  <si>
    <t>150:11:39</t>
  </si>
  <si>
    <t>1367.16</t>
  </si>
  <si>
    <t>K1i00164</t>
  </si>
  <si>
    <t>12:07:31</t>
  </si>
  <si>
    <t>60.77</t>
  </si>
  <si>
    <t>K1i00163</t>
  </si>
  <si>
    <t>80:28:01</t>
  </si>
  <si>
    <t>932.76</t>
  </si>
  <si>
    <t>K1i00162</t>
  </si>
  <si>
    <t>54:11:43</t>
  </si>
  <si>
    <t>452.87</t>
  </si>
  <si>
    <t>K1i00169</t>
  </si>
  <si>
    <t>45:52:23</t>
  </si>
  <si>
    <t>402.5</t>
  </si>
  <si>
    <t>K1i00161</t>
  </si>
  <si>
    <t>129:49:22</t>
  </si>
  <si>
    <t>1110.08</t>
  </si>
  <si>
    <t>K1i00188</t>
  </si>
  <si>
    <t>160:44:13</t>
  </si>
  <si>
    <t>1500.17</t>
  </si>
  <si>
    <t>K1i00187</t>
  </si>
  <si>
    <t>12:02:22</t>
  </si>
  <si>
    <t>53.08</t>
  </si>
  <si>
    <t>K1i00186</t>
  </si>
  <si>
    <t>259:27:50</t>
  </si>
  <si>
    <t>2454.46</t>
  </si>
  <si>
    <t>K1i00189</t>
  </si>
  <si>
    <t>10:13:19</t>
  </si>
  <si>
    <t>22.77</t>
  </si>
  <si>
    <t>K1i00185</t>
  </si>
  <si>
    <t>04:32:36</t>
  </si>
  <si>
    <t>30.25</t>
  </si>
  <si>
    <t>K1i00180</t>
  </si>
  <si>
    <t>222:55:49</t>
  </si>
  <si>
    <t>1173.06</t>
  </si>
  <si>
    <t>K1i00178</t>
  </si>
  <si>
    <t>29:29:42</t>
  </si>
  <si>
    <t>3129087636.53</t>
  </si>
  <si>
    <t>K1i00177</t>
  </si>
  <si>
    <t>Triveni Admin BASF</t>
  </si>
  <si>
    <t>9898887463</t>
  </si>
  <si>
    <t>05:00:25</t>
  </si>
  <si>
    <t>19.17</t>
  </si>
  <si>
    <t>K1i00168</t>
  </si>
  <si>
    <t>31:10:46</t>
  </si>
  <si>
    <t>127.95</t>
  </si>
  <si>
    <t>K1i00192</t>
  </si>
  <si>
    <t>68:34:50</t>
  </si>
  <si>
    <t>415.4</t>
  </si>
  <si>
    <t>K1i00191</t>
  </si>
  <si>
    <t>104:06:53</t>
  </si>
  <si>
    <t>944.08</t>
  </si>
  <si>
    <t>K1i00190</t>
  </si>
  <si>
    <t>118:07:54</t>
  </si>
  <si>
    <t>1310.27</t>
  </si>
  <si>
    <t>K1i00173</t>
  </si>
  <si>
    <t>32:54:47</t>
  </si>
  <si>
    <t>179.27</t>
  </si>
  <si>
    <t>K1i00137</t>
  </si>
  <si>
    <t>28:01:30</t>
  </si>
  <si>
    <t>73.91</t>
  </si>
  <si>
    <t>K1i00195</t>
  </si>
  <si>
    <t>70:22:24</t>
  </si>
  <si>
    <t>373.64</t>
  </si>
  <si>
    <t>K1i00193</t>
  </si>
  <si>
    <t>28:07:06</t>
  </si>
  <si>
    <t>174.7</t>
  </si>
  <si>
    <t>K1i00214</t>
  </si>
  <si>
    <t>08:16:20</t>
  </si>
  <si>
    <t>34.04</t>
  </si>
  <si>
    <t>K1i00212</t>
  </si>
  <si>
    <t>09:56:42</t>
  </si>
  <si>
    <t>31.35</t>
  </si>
  <si>
    <t>K1i00210</t>
  </si>
  <si>
    <t>01:11:25</t>
  </si>
  <si>
    <t>1.87</t>
  </si>
  <si>
    <t>K1i00209</t>
  </si>
  <si>
    <t>07:30:21</t>
  </si>
  <si>
    <t>15.68</t>
  </si>
  <si>
    <t>K1i00208</t>
  </si>
  <si>
    <t>100:13:54</t>
  </si>
  <si>
    <t>20110296939.32</t>
  </si>
  <si>
    <t>K1i00207</t>
  </si>
  <si>
    <t>38:47:39</t>
  </si>
  <si>
    <t>111.39</t>
  </si>
  <si>
    <t>K1i00206</t>
  </si>
  <si>
    <t>53:10:51</t>
  </si>
  <si>
    <t>520.94</t>
  </si>
  <si>
    <t>K1i00205</t>
  </si>
  <si>
    <t>39:19:45</t>
  </si>
  <si>
    <t>302.44</t>
  </si>
  <si>
    <t>K1i00204</t>
  </si>
  <si>
    <t>20:31:07</t>
  </si>
  <si>
    <t>116.66</t>
  </si>
  <si>
    <t>K1i00203</t>
  </si>
  <si>
    <t>110:00:05</t>
  </si>
  <si>
    <t>794.73</t>
  </si>
  <si>
    <t>K1i00211</t>
  </si>
  <si>
    <t>09:53:35</t>
  </si>
  <si>
    <t>25.29</t>
  </si>
  <si>
    <t>K1i00201</t>
  </si>
  <si>
    <t>Mihir Agriown</t>
  </si>
  <si>
    <t>9428102150</t>
  </si>
  <si>
    <t>29:29:10</t>
  </si>
  <si>
    <t>202.07</t>
  </si>
  <si>
    <t>K1i00200</t>
  </si>
  <si>
    <t>06:46:18</t>
  </si>
  <si>
    <t>30.96</t>
  </si>
  <si>
    <t>K1i00199</t>
  </si>
  <si>
    <t>12:07:01</t>
  </si>
  <si>
    <t>46.16</t>
  </si>
  <si>
    <t>K1i00198</t>
  </si>
  <si>
    <t>01:43:18</t>
  </si>
  <si>
    <t>K1i00196</t>
  </si>
  <si>
    <t>68:09:04</t>
  </si>
  <si>
    <t>564.78</t>
  </si>
  <si>
    <t>K1i00197</t>
  </si>
  <si>
    <t>22:27:49</t>
  </si>
  <si>
    <t>105.4</t>
  </si>
  <si>
    <t>K1i00194</t>
  </si>
  <si>
    <t>86:54:16</t>
  </si>
  <si>
    <t>1192.22</t>
  </si>
  <si>
    <t>K1i00217</t>
  </si>
  <si>
    <t>11:47:55</t>
  </si>
  <si>
    <t>70.29</t>
  </si>
  <si>
    <t>K1i00216</t>
  </si>
  <si>
    <t>40:10:01</t>
  </si>
  <si>
    <t>1555.4</t>
  </si>
  <si>
    <t>K1i00215</t>
  </si>
  <si>
    <t>66:38:51</t>
  </si>
  <si>
    <t>414</t>
  </si>
  <si>
    <t>K1i00230</t>
  </si>
  <si>
    <t>K1i00229</t>
  </si>
  <si>
    <t>K1i00228</t>
  </si>
  <si>
    <t>102:57:13</t>
  </si>
  <si>
    <t>1166.2</t>
  </si>
  <si>
    <t>K1i00227</t>
  </si>
  <si>
    <t>04:54:25</t>
  </si>
  <si>
    <t>23.17</t>
  </si>
  <si>
    <t>K1i00226</t>
  </si>
  <si>
    <t>K1i00225</t>
  </si>
  <si>
    <t>24:24:39</t>
  </si>
  <si>
    <t>174.81</t>
  </si>
  <si>
    <t>K1i00224</t>
  </si>
  <si>
    <t>110:21:41</t>
  </si>
  <si>
    <t>943.72</t>
  </si>
  <si>
    <t>K1i00223</t>
  </si>
  <si>
    <t>78:50:33</t>
  </si>
  <si>
    <t>493.54</t>
  </si>
  <si>
    <t>K1i00222</t>
  </si>
  <si>
    <t>41:18:40</t>
  </si>
  <si>
    <t>3489231739.47</t>
  </si>
  <si>
    <t>K1i00221</t>
  </si>
  <si>
    <t>240:38:34</t>
  </si>
  <si>
    <t>1833.9</t>
  </si>
  <si>
    <t>K1i00220</t>
  </si>
  <si>
    <t>04:01:29</t>
  </si>
  <si>
    <t>7.48</t>
  </si>
  <si>
    <t>K1i00219</t>
  </si>
  <si>
    <t>14:15:36</t>
  </si>
  <si>
    <t>11024.66</t>
  </si>
  <si>
    <t>K1i00218</t>
  </si>
  <si>
    <t>20:46:21</t>
  </si>
  <si>
    <t>130.78</t>
  </si>
  <si>
    <t>K1i00202</t>
  </si>
  <si>
    <t>108:09:42</t>
  </si>
  <si>
    <t>2640.1</t>
  </si>
  <si>
    <t>K1i00231</t>
  </si>
  <si>
    <t>K1i00236</t>
  </si>
  <si>
    <t>40:23:32</t>
  </si>
  <si>
    <t>335.44</t>
  </si>
  <si>
    <t>K1i00235</t>
  </si>
  <si>
    <t>45:02:20</t>
  </si>
  <si>
    <t>301.21</t>
  </si>
  <si>
    <t>K1i00234</t>
  </si>
  <si>
    <t>54:09:05</t>
  </si>
  <si>
    <t>571.85</t>
  </si>
  <si>
    <t>K1i00233</t>
  </si>
  <si>
    <t>09:01:00</t>
  </si>
  <si>
    <t>30.28</t>
  </si>
  <si>
    <t>K1i00232</t>
  </si>
  <si>
    <t>08:37:02</t>
  </si>
  <si>
    <t>51.81</t>
  </si>
  <si>
    <t>K1i00239</t>
  </si>
  <si>
    <t>306:17:29</t>
  </si>
  <si>
    <t>2573.03</t>
  </si>
  <si>
    <t>K1i00238</t>
  </si>
  <si>
    <t>104:21:50</t>
  </si>
  <si>
    <t>693.49</t>
  </si>
  <si>
    <t>K1i00237</t>
  </si>
  <si>
    <t>02:24:11</t>
  </si>
  <si>
    <t>5.29</t>
  </si>
  <si>
    <t>K1i00242</t>
  </si>
  <si>
    <t>14:42:06</t>
  </si>
  <si>
    <t>25482875.07</t>
  </si>
  <si>
    <t>K1i00241</t>
  </si>
  <si>
    <t>71:59:15</t>
  </si>
  <si>
    <t>413.05</t>
  </si>
  <si>
    <t>K1i00240</t>
  </si>
  <si>
    <t>97:49:47</t>
  </si>
  <si>
    <t>850</t>
  </si>
  <si>
    <t>K1i00246</t>
  </si>
  <si>
    <t>26:35:42</t>
  </si>
  <si>
    <t>215.08</t>
  </si>
  <si>
    <t>K1i00245</t>
  </si>
  <si>
    <t>12:59:10</t>
  </si>
  <si>
    <t>80.61</t>
  </si>
  <si>
    <t>K1i00244</t>
  </si>
  <si>
    <t>K1i00243</t>
  </si>
  <si>
    <t>18:08:47</t>
  </si>
  <si>
    <t>119.9</t>
  </si>
  <si>
    <t>K1i00250</t>
  </si>
  <si>
    <t>26:17:39</t>
  </si>
  <si>
    <t>81.56</t>
  </si>
  <si>
    <t>K1i00249</t>
  </si>
  <si>
    <t>49:42:14</t>
  </si>
  <si>
    <t>2360776286.46</t>
  </si>
  <si>
    <t>K1i00248</t>
  </si>
  <si>
    <t>01:48:27</t>
  </si>
  <si>
    <t>1.03</t>
  </si>
  <si>
    <t>K1i00247</t>
  </si>
  <si>
    <t>26:06:02</t>
  </si>
  <si>
    <t>125.83</t>
  </si>
  <si>
    <t>K1i00260</t>
  </si>
  <si>
    <t>42:01:15</t>
  </si>
  <si>
    <t>2296399.13</t>
  </si>
  <si>
    <t>K1i00259</t>
  </si>
  <si>
    <t>05:25:13</t>
  </si>
  <si>
    <t>4.21</t>
  </si>
  <si>
    <t>K1i00258</t>
  </si>
  <si>
    <t>07:41:32</t>
  </si>
  <si>
    <t>35.95</t>
  </si>
  <si>
    <t>K1i00257</t>
  </si>
  <si>
    <t>50:35:45</t>
  </si>
  <si>
    <t>256.48</t>
  </si>
  <si>
    <t>K1i00256</t>
  </si>
  <si>
    <t>01:05:50</t>
  </si>
  <si>
    <t>1.17</t>
  </si>
  <si>
    <t>K1i00255</t>
  </si>
  <si>
    <t>05:08:25</t>
  </si>
  <si>
    <t>38.96</t>
  </si>
  <si>
    <t>K1i00254</t>
  </si>
  <si>
    <t>51:46:27</t>
  </si>
  <si>
    <t>391.37</t>
  </si>
  <si>
    <t>K1i00253</t>
  </si>
  <si>
    <t>43:24:18</t>
  </si>
  <si>
    <t>K1i00252</t>
  </si>
  <si>
    <t>K1i00251</t>
  </si>
  <si>
    <t>38:41:50</t>
  </si>
  <si>
    <t>179.92</t>
  </si>
  <si>
    <t>K1i00269</t>
  </si>
  <si>
    <t>34:02:53</t>
  </si>
  <si>
    <t>266.08</t>
  </si>
  <si>
    <t>K1i00268</t>
  </si>
  <si>
    <t>19:47:05</t>
  </si>
  <si>
    <t>159.8</t>
  </si>
  <si>
    <t>K1i00267</t>
  </si>
  <si>
    <t>08:38:36</t>
  </si>
  <si>
    <t>60</t>
  </si>
  <si>
    <t>K1i00266</t>
  </si>
  <si>
    <t>34:33:48</t>
  </si>
  <si>
    <t>296.48</t>
  </si>
  <si>
    <t>K1i00265</t>
  </si>
  <si>
    <t>41:25:29</t>
  </si>
  <si>
    <t>214.43</t>
  </si>
  <si>
    <t>K1i00264</t>
  </si>
  <si>
    <t>38:17:52</t>
  </si>
  <si>
    <t>95.2</t>
  </si>
  <si>
    <t>K1i00262</t>
  </si>
  <si>
    <t>02:27:02</t>
  </si>
  <si>
    <t>2.18</t>
  </si>
  <si>
    <t>K1i00263</t>
  </si>
  <si>
    <t>27:04:28</t>
  </si>
  <si>
    <t>120.48</t>
  </si>
  <si>
    <t>K1i00261</t>
  </si>
  <si>
    <t>15:52:40</t>
  </si>
  <si>
    <t>99.47</t>
  </si>
  <si>
    <t>K1i00271</t>
  </si>
  <si>
    <t>45:13:45</t>
  </si>
  <si>
    <t>731.07</t>
  </si>
  <si>
    <t>K1i00270</t>
  </si>
  <si>
    <t>94:07:16</t>
  </si>
  <si>
    <t>1301.99</t>
  </si>
  <si>
    <t>K1i00272</t>
  </si>
  <si>
    <t>92:16:08</t>
  </si>
  <si>
    <t>3747.27</t>
  </si>
  <si>
    <t>K1i00273</t>
  </si>
  <si>
    <t>12:43:45</t>
  </si>
  <si>
    <t>59.24</t>
  </si>
  <si>
    <t>K1i00274</t>
  </si>
  <si>
    <t>09:22:29</t>
  </si>
  <si>
    <t>27.03</t>
  </si>
  <si>
    <t>K1i00275</t>
  </si>
  <si>
    <t>110:10:28</t>
  </si>
  <si>
    <t>1152.91</t>
  </si>
  <si>
    <t>K1i00280</t>
  </si>
  <si>
    <t>27:05:24</t>
  </si>
  <si>
    <t>158.77</t>
  </si>
  <si>
    <t>K1i00276</t>
  </si>
  <si>
    <t>90:41:48</t>
  </si>
  <si>
    <t>850.42</t>
  </si>
  <si>
    <t>K1i00277</t>
  </si>
  <si>
    <t>31:39:37</t>
  </si>
  <si>
    <t>184</t>
  </si>
  <si>
    <t>K1i00278</t>
  </si>
  <si>
    <t>08:03:06</t>
  </si>
  <si>
    <t>77.06</t>
  </si>
  <si>
    <t>K1i00279</t>
  </si>
  <si>
    <t>11:05:06</t>
  </si>
  <si>
    <t>125.75</t>
  </si>
  <si>
    <t>K1i00288</t>
  </si>
  <si>
    <t>50:23:16</t>
  </si>
  <si>
    <t>319.16</t>
  </si>
  <si>
    <t>K1i00287</t>
  </si>
  <si>
    <t>01:41:00</t>
  </si>
  <si>
    <t>12.46</t>
  </si>
  <si>
    <t>K1i00286</t>
  </si>
  <si>
    <t>42:00:41</t>
  </si>
  <si>
    <t>254.45</t>
  </si>
  <si>
    <t>K1i00284</t>
  </si>
  <si>
    <t>09:26:50</t>
  </si>
  <si>
    <t>49.9</t>
  </si>
  <si>
    <t>K1i00281</t>
  </si>
  <si>
    <t>82:15:39</t>
  </si>
  <si>
    <t>377.97</t>
  </si>
  <si>
    <t>K1i00282</t>
  </si>
  <si>
    <t>57:15:55</t>
  </si>
  <si>
    <t>363.5</t>
  </si>
  <si>
    <t>K1i00283</t>
  </si>
  <si>
    <t>96:40:48</t>
  </si>
  <si>
    <t>803.35</t>
  </si>
  <si>
    <t>K1i00285</t>
  </si>
  <si>
    <t>02:22:59</t>
  </si>
  <si>
    <t>16.35</t>
  </si>
  <si>
    <t>K1i00289</t>
  </si>
  <si>
    <t>21:58:49</t>
  </si>
  <si>
    <t>115.54</t>
  </si>
  <si>
    <t>K1i00290</t>
  </si>
  <si>
    <t>77:09:54</t>
  </si>
  <si>
    <t>1073.58</t>
  </si>
  <si>
    <t>K1i00293</t>
  </si>
  <si>
    <t>Rozar Aralikatte</t>
  </si>
  <si>
    <t>9060415520</t>
  </si>
  <si>
    <t>176:54:54</t>
  </si>
  <si>
    <t>843.6</t>
  </si>
  <si>
    <t>K1i00297</t>
  </si>
  <si>
    <t>128:42:14</t>
  </si>
  <si>
    <t>1140.92</t>
  </si>
  <si>
    <t>K1i00294</t>
  </si>
  <si>
    <t>42:00:48</t>
  </si>
  <si>
    <t>300.03</t>
  </si>
  <si>
    <t>K1i00298</t>
  </si>
  <si>
    <t>32:50:05</t>
  </si>
  <si>
    <t>60.89</t>
  </si>
  <si>
    <t>K1i00304</t>
  </si>
  <si>
    <t>77:57:21</t>
  </si>
  <si>
    <t>544.29</t>
  </si>
  <si>
    <t>K1i00302</t>
  </si>
  <si>
    <t>46:58:48</t>
  </si>
  <si>
    <t>452.73</t>
  </si>
  <si>
    <t>K1i00300</t>
  </si>
  <si>
    <t>02:35:27</t>
  </si>
  <si>
    <t>29.94</t>
  </si>
  <si>
    <t>K1i00301</t>
  </si>
  <si>
    <t>55:45:36</t>
  </si>
  <si>
    <t>723.02</t>
  </si>
  <si>
    <t>K1i00303</t>
  </si>
  <si>
    <t>00:16:05</t>
  </si>
  <si>
    <t>K1i00305</t>
  </si>
  <si>
    <t>9986541604</t>
  </si>
  <si>
    <t>40:31:26</t>
  </si>
  <si>
    <t>321.19</t>
  </si>
  <si>
    <t>K1i00307</t>
  </si>
  <si>
    <t>287:16:02</t>
  </si>
  <si>
    <t>3437.01</t>
  </si>
  <si>
    <t>K1i00308</t>
  </si>
  <si>
    <t>49:38:12</t>
  </si>
  <si>
    <t>217.83</t>
  </si>
  <si>
    <t>K1i00309</t>
  </si>
  <si>
    <t>60:58:18</t>
  </si>
  <si>
    <t>547.16</t>
  </si>
  <si>
    <t>K1i00306</t>
  </si>
  <si>
    <t>16:43:32</t>
  </si>
  <si>
    <t>137.41</t>
  </si>
  <si>
    <t>K1i00310</t>
  </si>
  <si>
    <t>225:58:15</t>
  </si>
  <si>
    <t>3255.64</t>
  </si>
  <si>
    <t>K1i00311</t>
  </si>
  <si>
    <t>9509667166</t>
  </si>
  <si>
    <t>14:30:06</t>
  </si>
  <si>
    <t>136.75</t>
  </si>
  <si>
    <t>K1i00312</t>
  </si>
  <si>
    <t>131:27:14</t>
  </si>
  <si>
    <t>1342.53</t>
  </si>
  <si>
    <t>K1i00313</t>
  </si>
  <si>
    <t>12:45:03</t>
  </si>
  <si>
    <t>76.51</t>
  </si>
  <si>
    <t>K1i00314</t>
  </si>
  <si>
    <t>66:14:49</t>
  </si>
  <si>
    <t>786.89</t>
  </si>
  <si>
    <t>K1i00315</t>
  </si>
  <si>
    <t>04:16:25</t>
  </si>
  <si>
    <t>28.88</t>
  </si>
  <si>
    <t>K1i00316</t>
  </si>
  <si>
    <t>00:15:21</t>
  </si>
  <si>
    <t>K1i00318</t>
  </si>
  <si>
    <t>Syed</t>
  </si>
  <si>
    <t>9994032291</t>
  </si>
  <si>
    <t>21:59:14</t>
  </si>
  <si>
    <t>141.32</t>
  </si>
  <si>
    <t>K1i00319</t>
  </si>
  <si>
    <t>13:44:54</t>
  </si>
  <si>
    <t>4.27</t>
  </si>
  <si>
    <t>K1i00320</t>
  </si>
  <si>
    <t>05:00:32</t>
  </si>
  <si>
    <t>34.16</t>
  </si>
  <si>
    <t>K1i00322</t>
  </si>
  <si>
    <t>25:44:50</t>
  </si>
  <si>
    <t>106.99</t>
  </si>
  <si>
    <t>K1i00324</t>
  </si>
  <si>
    <t>72:39:37</t>
  </si>
  <si>
    <t>293.09</t>
  </si>
  <si>
    <t>K1i00325</t>
  </si>
  <si>
    <t>19:32:09</t>
  </si>
  <si>
    <t>16.54</t>
  </si>
  <si>
    <t>K1i00326</t>
  </si>
  <si>
    <t>27:01:29</t>
  </si>
  <si>
    <t>176.67</t>
  </si>
  <si>
    <t>K1i00328</t>
  </si>
  <si>
    <t>164:18:53</t>
  </si>
  <si>
    <t>2159.95</t>
  </si>
  <si>
    <t>K1i00330</t>
  </si>
  <si>
    <t>01:36:55</t>
  </si>
  <si>
    <t>4.93</t>
  </si>
  <si>
    <t>K1i00333</t>
  </si>
  <si>
    <t>K1i00334</t>
  </si>
  <si>
    <t>20:23:06</t>
  </si>
  <si>
    <t>163.85</t>
  </si>
  <si>
    <t>K1i00329</t>
  </si>
  <si>
    <t>124:00:31</t>
  </si>
  <si>
    <t>1128.01</t>
  </si>
  <si>
    <t>K2i00068</t>
  </si>
  <si>
    <t>Krishak2i</t>
  </si>
  <si>
    <t>Kowshik</t>
  </si>
  <si>
    <t>9717517538</t>
  </si>
  <si>
    <t>12:35:19</t>
  </si>
  <si>
    <t>119.45</t>
  </si>
  <si>
    <t>K2i00069</t>
  </si>
  <si>
    <t>18:56:18</t>
  </si>
  <si>
    <t>191.08</t>
  </si>
  <si>
    <t>K2i00070</t>
  </si>
  <si>
    <t>Vansha Sharma</t>
  </si>
  <si>
    <t>8630469173</t>
  </si>
  <si>
    <t>81:55:15</t>
  </si>
  <si>
    <t>1124.89</t>
  </si>
  <si>
    <t>K2i00071</t>
  </si>
  <si>
    <t>9457424486</t>
  </si>
  <si>
    <t>04:00:00</t>
  </si>
  <si>
    <t>29.3</t>
  </si>
  <si>
    <t>K2i00072</t>
  </si>
  <si>
    <t>7017231604</t>
  </si>
  <si>
    <t>20:15:35</t>
  </si>
  <si>
    <t>210.04</t>
  </si>
  <si>
    <t>K2i00073</t>
  </si>
  <si>
    <t>64:55:42</t>
  </si>
  <si>
    <t>630.17</t>
  </si>
  <si>
    <t>K2i00074</t>
  </si>
  <si>
    <t>140:30:52</t>
  </si>
  <si>
    <t>1861.56</t>
  </si>
  <si>
    <t>K2i00075</t>
  </si>
  <si>
    <t>28:32:58</t>
  </si>
  <si>
    <t>280.59</t>
  </si>
  <si>
    <t>K2i00077</t>
  </si>
  <si>
    <t>17:43:02</t>
  </si>
  <si>
    <t>169.8</t>
  </si>
  <si>
    <t>K2i00079</t>
  </si>
  <si>
    <t>41:26:14</t>
  </si>
  <si>
    <t>364.11</t>
  </si>
  <si>
    <t>K2i00080</t>
  </si>
  <si>
    <t>Pallavi</t>
  </si>
  <si>
    <t>7856823472</t>
  </si>
  <si>
    <t>01:24:16</t>
  </si>
  <si>
    <t>7.18</t>
  </si>
  <si>
    <t>K2i00081</t>
  </si>
  <si>
    <t>50:39:17</t>
  </si>
  <si>
    <t>257.4</t>
  </si>
  <si>
    <t>K2i00088</t>
  </si>
  <si>
    <t>87:10:37</t>
  </si>
  <si>
    <t>457.75</t>
  </si>
  <si>
    <t>K2i00091</t>
  </si>
  <si>
    <t>03:36:05</t>
  </si>
  <si>
    <t>K2i00084</t>
  </si>
  <si>
    <t>11:15:57</t>
  </si>
  <si>
    <t>68.33</t>
  </si>
  <si>
    <t>K2i00085</t>
  </si>
  <si>
    <t>45:20:13</t>
  </si>
  <si>
    <t>400.29</t>
  </si>
  <si>
    <t>K2i00082</t>
  </si>
  <si>
    <t>23:06:24</t>
  </si>
  <si>
    <t>115.53</t>
  </si>
  <si>
    <t>K2i00083</t>
  </si>
  <si>
    <t>45:27:05</t>
  </si>
  <si>
    <t>386.74</t>
  </si>
  <si>
    <t>K2i00086</t>
  </si>
  <si>
    <t>50:14:29</t>
  </si>
  <si>
    <t>399.57</t>
  </si>
  <si>
    <t>K2i00089</t>
  </si>
  <si>
    <t>29:34:36</t>
  </si>
  <si>
    <t>217.05</t>
  </si>
  <si>
    <t>K2i00004</t>
  </si>
  <si>
    <t>36:58:56</t>
  </si>
  <si>
    <t>394.11</t>
  </si>
  <si>
    <t>LSP00001</t>
  </si>
  <si>
    <t>07:59:05</t>
  </si>
  <si>
    <t>72.6</t>
  </si>
  <si>
    <t>LSP00002</t>
  </si>
  <si>
    <t>37:53:36</t>
  </si>
  <si>
    <t>358.26</t>
  </si>
  <si>
    <t>K2i00008</t>
  </si>
  <si>
    <t>43:27:33</t>
  </si>
  <si>
    <t>54611.89</t>
  </si>
  <si>
    <t>K2i00012</t>
  </si>
  <si>
    <t>40:00:48</t>
  </si>
  <si>
    <t>367.92</t>
  </si>
  <si>
    <t>K2i00011</t>
  </si>
  <si>
    <t>84:35:16</t>
  </si>
  <si>
    <t>705.11</t>
  </si>
  <si>
    <t>K2i00013</t>
  </si>
  <si>
    <t>51:32:45</t>
  </si>
  <si>
    <t>401.24</t>
  </si>
  <si>
    <t>K2i00014</t>
  </si>
  <si>
    <t>58:40:55</t>
  </si>
  <si>
    <t>968.85</t>
  </si>
  <si>
    <t>K2i00010</t>
  </si>
  <si>
    <t>71:05:26</t>
  </si>
  <si>
    <t>11472.63</t>
  </si>
  <si>
    <t>K2i00017</t>
  </si>
  <si>
    <t>64:52:47</t>
  </si>
  <si>
    <t>31486.16</t>
  </si>
  <si>
    <t>K2i00018</t>
  </si>
  <si>
    <t>27:17:06</t>
  </si>
  <si>
    <t>248.22</t>
  </si>
  <si>
    <t>K2i00016</t>
  </si>
  <si>
    <t>30:13:50</t>
  </si>
  <si>
    <t>272.83</t>
  </si>
  <si>
    <t>K2i00019</t>
  </si>
  <si>
    <t>Pravin venkatrao Achintalwar</t>
  </si>
  <si>
    <t>9503468080</t>
  </si>
  <si>
    <t>38:17:10</t>
  </si>
  <si>
    <t>287.52</t>
  </si>
  <si>
    <t>K2i00024</t>
  </si>
  <si>
    <t>36:11:47</t>
  </si>
  <si>
    <t>272.97</t>
  </si>
  <si>
    <t>K2i00022</t>
  </si>
  <si>
    <t>119:44:05</t>
  </si>
  <si>
    <t>10024.41</t>
  </si>
  <si>
    <t>K2i00023</t>
  </si>
  <si>
    <t>00:50:29</t>
  </si>
  <si>
    <t>K2i00021</t>
  </si>
  <si>
    <t>63:41:47</t>
  </si>
  <si>
    <t>577.78</t>
  </si>
  <si>
    <t>K2i00027</t>
  </si>
  <si>
    <t>137:39:16</t>
  </si>
  <si>
    <t>1461.68</t>
  </si>
  <si>
    <t>K2i00026</t>
  </si>
  <si>
    <t>02:48:40</t>
  </si>
  <si>
    <t>11.29</t>
  </si>
  <si>
    <t>K2i00025</t>
  </si>
  <si>
    <t>150:31:07</t>
  </si>
  <si>
    <t>1210.63</t>
  </si>
  <si>
    <t>K2i00028</t>
  </si>
  <si>
    <t>116:54:29</t>
  </si>
  <si>
    <t>1117.38</t>
  </si>
  <si>
    <t>K2i00031</t>
  </si>
  <si>
    <t>102:27:42</t>
  </si>
  <si>
    <t>1083.84</t>
  </si>
  <si>
    <t>K2i00036</t>
  </si>
  <si>
    <t>133:17:22</t>
  </si>
  <si>
    <t>1160.29</t>
  </si>
  <si>
    <t>K2i00033</t>
  </si>
  <si>
    <t>85:35:52</t>
  </si>
  <si>
    <t>921.68</t>
  </si>
  <si>
    <t>K2i00032</t>
  </si>
  <si>
    <t>102:20:48</t>
  </si>
  <si>
    <t>1104.21</t>
  </si>
  <si>
    <t>K2i00034</t>
  </si>
  <si>
    <t>110:10:11</t>
  </si>
  <si>
    <t>11238.59</t>
  </si>
  <si>
    <t>K2i00035</t>
  </si>
  <si>
    <t>105:19:31</t>
  </si>
  <si>
    <t>1031.54</t>
  </si>
  <si>
    <t>K2i00037</t>
  </si>
  <si>
    <t>44:51:19</t>
  </si>
  <si>
    <t>22445.73</t>
  </si>
  <si>
    <t>K2i00038</t>
  </si>
  <si>
    <t>20:32:42</t>
  </si>
  <si>
    <t>175.78</t>
  </si>
  <si>
    <t>K2i00040</t>
  </si>
  <si>
    <t>09:36:58</t>
  </si>
  <si>
    <t>54.61</t>
  </si>
  <si>
    <t>K2i00041</t>
  </si>
  <si>
    <t>06:34:35</t>
  </si>
  <si>
    <t>22.7</t>
  </si>
  <si>
    <t>K2i00042</t>
  </si>
  <si>
    <t>45:19:02</t>
  </si>
  <si>
    <t>317.62</t>
  </si>
  <si>
    <t>K2i00043</t>
  </si>
  <si>
    <t>J.SUNNY</t>
  </si>
  <si>
    <t>7799187969</t>
  </si>
  <si>
    <t>01:17:01</t>
  </si>
  <si>
    <t>2.45</t>
  </si>
  <si>
    <t>K2i00057</t>
  </si>
  <si>
    <t>06:30:26</t>
  </si>
  <si>
    <t>55.98</t>
  </si>
  <si>
    <t>K2i00053</t>
  </si>
  <si>
    <t>13:07:05</t>
  </si>
  <si>
    <t>127.87</t>
  </si>
  <si>
    <t>K2i00005</t>
  </si>
  <si>
    <t>85:38:59</t>
  </si>
  <si>
    <t>848.32</t>
  </si>
  <si>
    <t>LSP00003</t>
  </si>
  <si>
    <t>16:51:05</t>
  </si>
  <si>
    <t>75.35</t>
  </si>
  <si>
    <t>K2i00015</t>
  </si>
  <si>
    <t>04:18:22</t>
  </si>
  <si>
    <t>13.13</t>
  </si>
  <si>
    <t>K2i00020</t>
  </si>
  <si>
    <t>22:36:21</t>
  </si>
  <si>
    <t>157.33</t>
  </si>
  <si>
    <t>K2i00039</t>
  </si>
  <si>
    <t>11:52:22</t>
  </si>
  <si>
    <t>82.76</t>
  </si>
  <si>
    <t>K2i00094</t>
  </si>
  <si>
    <t>15:15:09</t>
  </si>
  <si>
    <t>109.46</t>
  </si>
  <si>
    <t>K2i00093</t>
  </si>
  <si>
    <t>37:19:59</t>
  </si>
  <si>
    <t>334.12</t>
  </si>
  <si>
    <t>K2i00096</t>
  </si>
  <si>
    <t>61:46:30</t>
  </si>
  <si>
    <t>607.82</t>
  </si>
  <si>
    <t>K2i00097</t>
  </si>
  <si>
    <t>10:44:13</t>
  </si>
  <si>
    <t>93.66</t>
  </si>
  <si>
    <t>K2i00095</t>
  </si>
  <si>
    <t>9569056812</t>
  </si>
  <si>
    <t>04:09:38</t>
  </si>
  <si>
    <t>19.5</t>
  </si>
  <si>
    <t>K2i00099</t>
  </si>
  <si>
    <t>18:29:43</t>
  </si>
  <si>
    <t>125.66</t>
  </si>
  <si>
    <t>K2i00102</t>
  </si>
  <si>
    <t>43:25:56</t>
  </si>
  <si>
    <t>361.19</t>
  </si>
  <si>
    <t>K2i00101</t>
  </si>
  <si>
    <t>K2i00105</t>
  </si>
  <si>
    <t>9704839340</t>
  </si>
  <si>
    <t>02:50:34</t>
  </si>
  <si>
    <t>11.43</t>
  </si>
  <si>
    <t>K2i00108</t>
  </si>
  <si>
    <t>Soham Shripad Jangale</t>
  </si>
  <si>
    <t>7756095516</t>
  </si>
  <si>
    <t>24:09:55</t>
  </si>
  <si>
    <t>228.79</t>
  </si>
  <si>
    <t>K2i00110</t>
  </si>
  <si>
    <t>Gaurab</t>
  </si>
  <si>
    <t>7042118352</t>
  </si>
  <si>
    <t>05:05:25</t>
  </si>
  <si>
    <t>17.94</t>
  </si>
  <si>
    <t>K2i00114</t>
  </si>
  <si>
    <t>00:52:00</t>
  </si>
  <si>
    <t>3.83</t>
  </si>
  <si>
    <t>K2i00115</t>
  </si>
  <si>
    <t>00:26:13</t>
  </si>
  <si>
    <t>0.79</t>
  </si>
  <si>
    <t>K2i00119</t>
  </si>
  <si>
    <t>Kumari laxmi kushwaha</t>
  </si>
  <si>
    <t>8874036529</t>
  </si>
  <si>
    <t>23:28:59</t>
  </si>
  <si>
    <t>134.43</t>
  </si>
  <si>
    <t>K2i00120</t>
  </si>
  <si>
    <t>8874036259</t>
  </si>
  <si>
    <t>15:21:08</t>
  </si>
  <si>
    <t>27716.25</t>
  </si>
  <si>
    <t>K2i00122</t>
  </si>
  <si>
    <t>Rafeequ Ahmed khan</t>
  </si>
  <si>
    <t>9489741773</t>
  </si>
  <si>
    <t>01:28:46</t>
  </si>
  <si>
    <t>7.42</t>
  </si>
  <si>
    <t>K2i00117</t>
  </si>
  <si>
    <t>23:55:02</t>
  </si>
  <si>
    <t>240.85</t>
  </si>
  <si>
    <t>K2i00126</t>
  </si>
  <si>
    <t>00:28:12</t>
  </si>
  <si>
    <t>1.7</t>
  </si>
  <si>
    <t>K2i00123</t>
  </si>
  <si>
    <t>02:24:01</t>
  </si>
  <si>
    <t>6.33</t>
  </si>
  <si>
    <t>K2i00130</t>
  </si>
  <si>
    <t>00:33:50</t>
  </si>
  <si>
    <t>1.79</t>
  </si>
  <si>
    <t>K2i00124</t>
  </si>
  <si>
    <t>01:12:47</t>
  </si>
  <si>
    <t>3.52</t>
  </si>
  <si>
    <t>K2i00135</t>
  </si>
  <si>
    <t>00:55:43</t>
  </si>
  <si>
    <t>2.62</t>
  </si>
  <si>
    <t>K2i00141</t>
  </si>
  <si>
    <t>12:16:20</t>
  </si>
  <si>
    <t>96.94</t>
  </si>
  <si>
    <t>K2i00139</t>
  </si>
  <si>
    <t>Tirthavana haribhau vadakar</t>
  </si>
  <si>
    <t>7666505231</t>
  </si>
  <si>
    <t>89:21:41</t>
  </si>
  <si>
    <t>939.39</t>
  </si>
  <si>
    <t>K2i00138</t>
  </si>
  <si>
    <t>01:40:04</t>
  </si>
  <si>
    <t>4.56</t>
  </si>
  <si>
    <t>K2i00147</t>
  </si>
  <si>
    <t>37:07:33</t>
  </si>
  <si>
    <t>356.15</t>
  </si>
  <si>
    <t>K2i00152</t>
  </si>
  <si>
    <t>Dharmendra</t>
  </si>
  <si>
    <t>9529778170</t>
  </si>
  <si>
    <t>00:31:36</t>
  </si>
  <si>
    <t>1.63</t>
  </si>
  <si>
    <t>K2i00151</t>
  </si>
  <si>
    <t>9621359626</t>
  </si>
  <si>
    <t>08:50:47</t>
  </si>
  <si>
    <t>15.05</t>
  </si>
  <si>
    <t>K2i00153</t>
  </si>
  <si>
    <t>00:14:34</t>
  </si>
  <si>
    <t>0.81</t>
  </si>
  <si>
    <t>K2i00156</t>
  </si>
  <si>
    <t>01:09:43</t>
  </si>
  <si>
    <t>4.65</t>
  </si>
  <si>
    <t>K2i00158</t>
  </si>
  <si>
    <t>00:12:33</t>
  </si>
  <si>
    <t>0.7</t>
  </si>
  <si>
    <t>K2i00159</t>
  </si>
  <si>
    <t>00:58:50</t>
  </si>
  <si>
    <t>1.72</t>
  </si>
  <si>
    <t>K2i00162</t>
  </si>
  <si>
    <t>00:58:09</t>
  </si>
  <si>
    <t>3.37</t>
  </si>
  <si>
    <t>K2i00163</t>
  </si>
  <si>
    <t>7376804512</t>
  </si>
  <si>
    <t>05:35:55</t>
  </si>
  <si>
    <t>19.73</t>
  </si>
  <si>
    <t>K2i00166</t>
  </si>
  <si>
    <t>74:07:21</t>
  </si>
  <si>
    <t>932.66</t>
  </si>
  <si>
    <t>K2i00157</t>
  </si>
  <si>
    <t>01:00:02</t>
  </si>
  <si>
    <t>3.47</t>
  </si>
  <si>
    <t>K1iPT_04</t>
  </si>
  <si>
    <t>06:44:32</t>
  </si>
  <si>
    <t>10.08</t>
  </si>
  <si>
    <t>K2i00002</t>
  </si>
  <si>
    <t>HIL_2v1</t>
  </si>
  <si>
    <t>57:13:47</t>
  </si>
  <si>
    <t>143.66</t>
  </si>
  <si>
    <t>HIL_bth_drone</t>
  </si>
  <si>
    <t>05:17:55</t>
  </si>
  <si>
    <t>13.34</t>
  </si>
  <si>
    <t>K1i00017</t>
  </si>
  <si>
    <t>165:58:47</t>
  </si>
  <si>
    <t>2027.45</t>
  </si>
  <si>
    <t>K1i00176</t>
  </si>
  <si>
    <t>47:45:29</t>
  </si>
  <si>
    <t>318.23</t>
  </si>
  <si>
    <t>Count of drones</t>
  </si>
  <si>
    <t>Total</t>
  </si>
  <si>
    <t>Crashed atleast once</t>
  </si>
  <si>
    <t>Time to first ticket &lt;30 days</t>
  </si>
  <si>
    <t>Drones</t>
  </si>
  <si>
    <t>Customers</t>
  </si>
  <si>
    <t>2024-04-11T10:34:06.000Z</t>
  </si>
  <si>
    <t>2025-04-07T04:51:20.000Z</t>
  </si>
  <si>
    <t>17</t>
  </si>
  <si>
    <t>2024-05-21T04:28:54.000Z</t>
  </si>
  <si>
    <t>2026-01-31T08:20:56.000Z</t>
  </si>
  <si>
    <t>16</t>
  </si>
  <si>
    <t>2024-01-10T07:27:59.000Z</t>
  </si>
  <si>
    <t>2026-04-12T06:50:56.000Z</t>
  </si>
  <si>
    <t>15</t>
  </si>
  <si>
    <t>2024-05-27T11:13:30.000Z</t>
  </si>
  <si>
    <t>2026-04-17T15:19:25.000Z</t>
  </si>
  <si>
    <t>11</t>
  </si>
  <si>
    <t>2024-09-01T13:34:08.000Z</t>
  </si>
  <si>
    <t>2026-02-07T04:39:58.000Z</t>
  </si>
  <si>
    <t>22</t>
  </si>
  <si>
    <t>2024-05-23T04:34:50.000Z</t>
  </si>
  <si>
    <t>2026-04-27T04:13:03.000Z</t>
  </si>
  <si>
    <t>28</t>
  </si>
  <si>
    <t>2024-06-23T06:36:02.000Z</t>
  </si>
  <si>
    <t>2026-01-20T07:41:46.000Z</t>
  </si>
  <si>
    <t>18</t>
  </si>
  <si>
    <t>2024-04-16T05:53:31.000Z</t>
  </si>
  <si>
    <t>2026-04-15T05:14:36.000Z</t>
  </si>
  <si>
    <t>14</t>
  </si>
  <si>
    <t>2024-04-24T06:22:37.000Z</t>
  </si>
  <si>
    <t>2026-01-14T09:40:29.000Z</t>
  </si>
  <si>
    <t>23</t>
  </si>
  <si>
    <t>2024-04-26T01:32:50.000Z</t>
  </si>
  <si>
    <t>2025-09-08T08:04:08.000Z</t>
  </si>
  <si>
    <t>2024-05-12T09:44:02.000Z</t>
  </si>
  <si>
    <t>2026-02-05T04:37:44.000Z</t>
  </si>
  <si>
    <t>2024-08-09T07:18:40.000Z</t>
  </si>
  <si>
    <t>2026-02-23T08:31:08.000Z</t>
  </si>
  <si>
    <t>2024-05-27T10:53:07.000Z</t>
  </si>
  <si>
    <t>2025-11-19T09:48:46.000Z</t>
  </si>
  <si>
    <t>2024-05-05T02:51:44.000Z</t>
  </si>
  <si>
    <t>2026-01-11T06:49:21.000Z</t>
  </si>
  <si>
    <t>2024-05-27T12:31:58.000Z</t>
  </si>
  <si>
    <t>2025-04-08T10:55:29.000Z</t>
  </si>
  <si>
    <t>2024-08-09T10:26:06.000Z</t>
  </si>
  <si>
    <t>2026-04-28T07:10:36.000Z</t>
  </si>
  <si>
    <t>2024-07-03T05:05:27.000Z</t>
  </si>
  <si>
    <t>2026-02-19T14:19:43.000Z</t>
  </si>
  <si>
    <t>13</t>
  </si>
  <si>
    <t>2024-04-22T08:46:12.000Z</t>
  </si>
  <si>
    <t>2026-05-05T06:24:43.000Z</t>
  </si>
  <si>
    <t>2024-06-23T11:39:02.000Z</t>
  </si>
  <si>
    <t>2026-02-13T09:54:43.000Z</t>
  </si>
  <si>
    <t>2024-09-06T07:38:12.000Z</t>
  </si>
  <si>
    <t>2026-01-26T11:27:14.000Z</t>
  </si>
  <si>
    <t>20</t>
  </si>
  <si>
    <t>2024-07-07T06:32:19.000Z</t>
  </si>
  <si>
    <t>2025-05-30T09:33:17.000Z</t>
  </si>
  <si>
    <t>12</t>
  </si>
  <si>
    <t>2024-05-13T14:29:12.000Z</t>
  </si>
  <si>
    <t>2026-03-13T07:41:09.000Z</t>
  </si>
  <si>
    <t>2024-06-12T08:54:47.000Z</t>
  </si>
  <si>
    <t>2025-12-22T11:30:20.000Z</t>
  </si>
  <si>
    <t>24</t>
  </si>
  <si>
    <t>2024-07-06T05:45:38.000Z</t>
  </si>
  <si>
    <t>2025-12-18T10:08:14.000Z</t>
  </si>
  <si>
    <t>2024-08-18T08:30:55.000Z</t>
  </si>
  <si>
    <t>2026-04-07T02:12:41.000Z</t>
  </si>
  <si>
    <t>2024-04-29T13:45:28.000Z</t>
  </si>
  <si>
    <t>2026-04-07T03:23:25.000Z</t>
  </si>
  <si>
    <t>2024-04-10T08:13:12.000Z</t>
  </si>
  <si>
    <t>2025-11-05T09:25:37.000Z</t>
  </si>
  <si>
    <t>19</t>
  </si>
  <si>
    <t>2024-05-20T04:51:42.000Z</t>
  </si>
  <si>
    <t>2025-12-15T09:37:33.000Z</t>
  </si>
  <si>
    <t>2024-06-29T03:58:26.000Z</t>
  </si>
  <si>
    <t>2026-02-23T11:23:01.000Z</t>
  </si>
  <si>
    <t>2024-09-10T08:27:02.000Z</t>
  </si>
  <si>
    <t>2026-02-24T05:30:06.000Z</t>
  </si>
  <si>
    <t>2024-09-16T14:51:10.000Z</t>
  </si>
  <si>
    <t>2026-04-17T04:58:02.000Z</t>
  </si>
  <si>
    <t>2024-04-26T06:01:52.000Z</t>
  </si>
  <si>
    <t>2025-02-11T06:38:16.000Z</t>
  </si>
  <si>
    <t>2024-05-16T04:46:39.000Z</t>
  </si>
  <si>
    <t>2025-12-27T10:46:13.000Z</t>
  </si>
  <si>
    <t>2024-05-21T04:26:49.000Z</t>
  </si>
  <si>
    <t>2025-06-11T13:16:44.000Z</t>
  </si>
  <si>
    <t>2024-05-23T12:21:45.000Z</t>
  </si>
  <si>
    <t>2026-05-01T03:45:37.000Z</t>
  </si>
  <si>
    <t>6</t>
  </si>
  <si>
    <t>2024-08-03T10:41:52.000Z</t>
  </si>
  <si>
    <t>2026-04-08T04:02:11.000Z</t>
  </si>
  <si>
    <t>2024-09-29T07:21:27.000Z</t>
  </si>
  <si>
    <t>2026-04-24T05:54:07.000Z</t>
  </si>
  <si>
    <t>2024-11-19T10:13:29.000Z</t>
  </si>
  <si>
    <t>2026-04-25T08:59:40.000Z</t>
  </si>
  <si>
    <t>2024-05-14T12:41:49.000Z</t>
  </si>
  <si>
    <t>2025-12-26T04:31:39.000Z</t>
  </si>
  <si>
    <t>2024-04-25T06:19:38.000Z</t>
  </si>
  <si>
    <t>2025-09-07T03:48:16.000Z</t>
  </si>
  <si>
    <t>8</t>
  </si>
  <si>
    <t>2024-05-15T10:42:51.000Z</t>
  </si>
  <si>
    <t>2026-01-21T09:22:55.000Z</t>
  </si>
  <si>
    <t>2024-05-21T07:39:30.000Z</t>
  </si>
  <si>
    <t>2026-01-19T13:38:53.000Z</t>
  </si>
  <si>
    <t>2024-07-21T11:03:10.000Z</t>
  </si>
  <si>
    <t>2026-01-30T09:38:50.000Z</t>
  </si>
  <si>
    <t>2024-06-23T02:59:57.000Z</t>
  </si>
  <si>
    <t>2025-10-07T08:34:53.000Z</t>
  </si>
  <si>
    <t>2024-07-02T04:11:44.000Z</t>
  </si>
  <si>
    <t>2025-12-22T09:24:47.000Z</t>
  </si>
  <si>
    <t>2025-04-18T05:57:00.000Z</t>
  </si>
  <si>
    <t>2026-05-07T05:55:37.000Z</t>
  </si>
  <si>
    <t>2024-04-23T06:04:05.000Z</t>
  </si>
  <si>
    <t>2025-12-25T05:02:51.000Z</t>
  </si>
  <si>
    <t>2024-05-03T04:15:58.000Z</t>
  </si>
  <si>
    <t>2025-11-12T09:23:38.000Z</t>
  </si>
  <si>
    <t>2024-05-29T13:54:05.000Z</t>
  </si>
  <si>
    <t>2025-09-21T14:34:20.000Z</t>
  </si>
  <si>
    <t>2024-06-25T04:49:26.000Z</t>
  </si>
  <si>
    <t>2026-04-13T05:01:51.000Z</t>
  </si>
  <si>
    <t>2024-07-23T08:01:21.000Z</t>
  </si>
  <si>
    <t>2025-12-17T10:04:26.000Z</t>
  </si>
  <si>
    <t>2024-09-28T13:20:23.000Z</t>
  </si>
  <si>
    <t>2026-01-27T07:58:15.000Z</t>
  </si>
  <si>
    <t>2024-05-06T06:29:08.000Z</t>
  </si>
  <si>
    <t>2025-10-06T11:09:47.000Z</t>
  </si>
  <si>
    <t>2024-05-16T06:31:05.000Z</t>
  </si>
  <si>
    <t>2025-12-11T07:32:13.000Z</t>
  </si>
  <si>
    <t>2024-05-25T12:06:38.000Z</t>
  </si>
  <si>
    <t>2025-12-09T08:15:15.000Z</t>
  </si>
  <si>
    <t>2024-07-05T03:49:53.000Z</t>
  </si>
  <si>
    <t>2026-04-13T12:16:59.000Z</t>
  </si>
  <si>
    <t>2024-07-20T04:30:01.000Z</t>
  </si>
  <si>
    <t>2026-02-07T10:12:15.000Z</t>
  </si>
  <si>
    <t>2024-08-05T04:49:07.000Z</t>
  </si>
  <si>
    <t>2026-05-06T16:15:07.000Z</t>
  </si>
  <si>
    <t>2024-08-16T11:55:01.000Z</t>
  </si>
  <si>
    <t>2026-03-10T14:02:11.000Z</t>
  </si>
  <si>
    <t>2024-09-10T07:43:41.000Z</t>
  </si>
  <si>
    <t>2026-01-26T11:27:54.000Z</t>
  </si>
  <si>
    <t>2024-05-13T14:42:07.000Z</t>
  </si>
  <si>
    <t>2025-10-28T04:36:28.000Z</t>
  </si>
  <si>
    <t>2024-06-14T09:12:37.000Z</t>
  </si>
  <si>
    <t>2026-02-10T05:25:21.000Z</t>
  </si>
  <si>
    <t>2024-08-07T08:34:31.000Z</t>
  </si>
  <si>
    <t>2026-01-08T10:29:56.000Z</t>
  </si>
  <si>
    <t>2024-04-14T03:43:42.000Z</t>
  </si>
  <si>
    <t>2025-07-28T08:32:39.000Z</t>
  </si>
  <si>
    <t>2024-06-08T10:38:03.000Z</t>
  </si>
  <si>
    <t>2026-02-07T06:34:53.000Z</t>
  </si>
  <si>
    <t>2024-07-05T11:34:10.000Z</t>
  </si>
  <si>
    <t>2026-01-06T05:58:42.000Z</t>
  </si>
  <si>
    <t>2024-07-17T09:11:29.000Z</t>
  </si>
  <si>
    <t>2026-01-11T09:25:47.000Z</t>
  </si>
  <si>
    <t>2024-08-13T03:35:43.000Z</t>
  </si>
  <si>
    <t>2026-04-28T11:38:10.000Z</t>
  </si>
  <si>
    <t>2024-08-28T06:10:43.000Z</t>
  </si>
  <si>
    <t>2026-01-22T11:10:14.000Z</t>
  </si>
  <si>
    <t>2024-09-17T14:42:52.000Z</t>
  </si>
  <si>
    <t>2026-04-24T05:51:19.000Z</t>
  </si>
  <si>
    <t>2024-04-14T13:11:53.000Z</t>
  </si>
  <si>
    <t>2026-04-24T11:16:55.000Z</t>
  </si>
  <si>
    <t>2024-04-22T12:52:47.000Z</t>
  </si>
  <si>
    <t>2025-07-30T11:29:08.000Z</t>
  </si>
  <si>
    <t>2024-06-12T08:54:52.000Z</t>
  </si>
  <si>
    <t>2026-01-31T07:19:40.000Z</t>
  </si>
  <si>
    <t>2024-07-16T09:25:40.000Z</t>
  </si>
  <si>
    <t>2026-01-26T03:22:32.000Z</t>
  </si>
  <si>
    <t>2024-08-26T05:22:20.000Z</t>
  </si>
  <si>
    <t>2026-01-09T08:33:58.000Z</t>
  </si>
  <si>
    <t>2024-03-30T04:44:27.000Z</t>
  </si>
  <si>
    <t>2025-11-07T07:56:48.000Z</t>
  </si>
  <si>
    <t>2024-04-30T09:18:04.000Z</t>
  </si>
  <si>
    <t>2025-11-12T13:32:08.000Z</t>
  </si>
  <si>
    <t>2024-05-10T04:34:45.000Z</t>
  </si>
  <si>
    <t>2025-08-14T11:18:31.000Z</t>
  </si>
  <si>
    <t>2024-05-10T07:24:25.000Z</t>
  </si>
  <si>
    <t>2025-09-02T10:49:22.000Z</t>
  </si>
  <si>
    <t>2024-05-24T14:04:43.000Z</t>
  </si>
  <si>
    <t>2026-01-20T07:49:57.000Z</t>
  </si>
  <si>
    <t>2024-07-26T04:53:18.000Z</t>
  </si>
  <si>
    <t>2026-01-09T07:12:03.000Z</t>
  </si>
  <si>
    <t>2024-08-03T11:05:22.000Z</t>
  </si>
  <si>
    <t>2026-03-02T11:42:48.000Z</t>
  </si>
  <si>
    <t>2024-08-04T03:42:00.000Z</t>
  </si>
  <si>
    <t>2026-04-18T03:59:07.000Z</t>
  </si>
  <si>
    <t>2024-08-19T11:56:11.000Z</t>
  </si>
  <si>
    <t>2026-03-30T05:17:52.000Z</t>
  </si>
  <si>
    <t>2024-10-18T08:10:03.000Z</t>
  </si>
  <si>
    <t>2025-09-23T03:26:04.000Z</t>
  </si>
  <si>
    <t>2024-03-07T12:58:20.000Z</t>
  </si>
  <si>
    <t>2026-01-20T16:06:56.000Z</t>
  </si>
  <si>
    <t>2024-05-10T05:25:44.000Z</t>
  </si>
  <si>
    <t>2026-02-09T09:13:04.000Z</t>
  </si>
  <si>
    <t>2024-05-30T07:57:03.000Z</t>
  </si>
  <si>
    <t>2026-01-16T10:31:28.000Z</t>
  </si>
  <si>
    <t>2024-07-15T06:33:23.000Z</t>
  </si>
  <si>
    <t>2025-10-06T00:05:36.000Z</t>
  </si>
  <si>
    <t>2024-09-02T07:32:29.000Z</t>
  </si>
  <si>
    <t>2026-03-20T05:43:59.000Z</t>
  </si>
  <si>
    <t>2024-09-18T06:49:31.000Z</t>
  </si>
  <si>
    <t>2025-07-30T07:28:38.000Z</t>
  </si>
  <si>
    <t>2024-04-08T06:26:22.000Z</t>
  </si>
  <si>
    <t>2026-01-27T15:50:45.000Z</t>
  </si>
  <si>
    <t>2024-06-27T08:25:00.000Z</t>
  </si>
  <si>
    <t>2026-05-03T01:22:09.000Z</t>
  </si>
  <si>
    <t>2024-09-30T10:26:13.000Z</t>
  </si>
  <si>
    <t>2026-03-10T05:22:38.000Z</t>
  </si>
  <si>
    <t>2024-11-14T15:51:19.000Z</t>
  </si>
  <si>
    <t>2025-12-30T07:08:44.000Z</t>
  </si>
  <si>
    <t>2025-01-30T01:28:18.000Z</t>
  </si>
  <si>
    <t>2026-01-21T04:30:35.000Z</t>
  </si>
  <si>
    <t>2024-05-04T03:55:53.000Z</t>
  </si>
  <si>
    <t>2026-01-06T04:25:02.000Z</t>
  </si>
  <si>
    <t>2024-05-16T04:43:15.000Z</t>
  </si>
  <si>
    <t>2026-03-03T05:17:17.000Z</t>
  </si>
  <si>
    <t>2024-05-23T06:58:47.000Z</t>
  </si>
  <si>
    <t>2025-12-16T07:42:24.000Z</t>
  </si>
  <si>
    <t>2024-05-24T13:16:21.000Z</t>
  </si>
  <si>
    <t>2025-09-20T07:57:35.000Z</t>
  </si>
  <si>
    <t>2024-05-24T13:58:53.000Z</t>
  </si>
  <si>
    <t>2026-02-03T07:19:17.000Z</t>
  </si>
  <si>
    <t>2024-05-27T04:19:31.000Z</t>
  </si>
  <si>
    <t>2025-08-06T11:00:35.000Z</t>
  </si>
  <si>
    <t>2024-06-15T12:08:17.000Z</t>
  </si>
  <si>
    <t>2025-06-02T13:04:46.000Z</t>
  </si>
  <si>
    <t>2024-07-06T07:46:04.000Z</t>
  </si>
  <si>
    <t>2026-03-14T04:57:38.000Z</t>
  </si>
  <si>
    <t>2024-08-22T10:32:14.000Z</t>
  </si>
  <si>
    <t>2026-02-19T09:14:29.000Z</t>
  </si>
  <si>
    <t>2024-08-27T11:46:56.000Z</t>
  </si>
  <si>
    <t>2026-02-14T07:36:24.000Z</t>
  </si>
  <si>
    <t>2024-09-11T14:53:39.000Z</t>
  </si>
  <si>
    <t>2026-04-10T14:36:50.000Z</t>
  </si>
  <si>
    <t>2024-05-22T09:04:44.000Z</t>
  </si>
  <si>
    <t>2025-12-28T11:47:03.000Z</t>
  </si>
  <si>
    <t>2024-06-27T08:11:57.000Z</t>
  </si>
  <si>
    <t>2026-01-08T05:26:39.000Z</t>
  </si>
  <si>
    <t>2024-07-02T04:16:04.000Z</t>
  </si>
  <si>
    <t>2026-01-17T12:43:58.000Z</t>
  </si>
  <si>
    <t>2024-07-03T07:13:08.000Z</t>
  </si>
  <si>
    <t>2026-02-18T07:08:38.000Z</t>
  </si>
  <si>
    <t>2025-03-04T06:17:23.000Z</t>
  </si>
  <si>
    <t>2026-04-05T02:56:27.000Z</t>
  </si>
  <si>
    <t>2023-12-07T13:51:06.000Z</t>
  </si>
  <si>
    <t>2026-01-30T04:01:17.000Z</t>
  </si>
  <si>
    <t>2024-01-02T08:59:24.000Z</t>
  </si>
  <si>
    <t>2026-01-22T11:43:31.000Z</t>
  </si>
  <si>
    <t>2024-06-22T13:20:08.000Z</t>
  </si>
  <si>
    <t>2026-04-21T05:08:41.000Z</t>
  </si>
  <si>
    <t>2024-08-18T02:26:16.000Z</t>
  </si>
  <si>
    <t>2025-12-27T08:24:42.000Z</t>
  </si>
  <si>
    <t>2024-08-24T01:49:07.000Z</t>
  </si>
  <si>
    <t>2026-01-05T14:45:36.000Z</t>
  </si>
  <si>
    <t>2024-09-30T14:31:28.000Z</t>
  </si>
  <si>
    <t>2026-02-14T10:55:29.000Z</t>
  </si>
  <si>
    <t>2024-11-19T06:31:36.000Z</t>
  </si>
  <si>
    <t>2026-01-10T06:40:44.000Z</t>
  </si>
  <si>
    <t>2025-04-07T05:22:46.000Z</t>
  </si>
  <si>
    <t>2026-04-21T07:22:55.000Z</t>
  </si>
  <si>
    <t>2025-07-16T04:14:44.000Z</t>
  </si>
  <si>
    <t>2026-02-18T05:06:46.000Z</t>
  </si>
  <si>
    <t>2024-05-01T05:51:32.000Z</t>
  </si>
  <si>
    <t>2025-12-07T04:37:32.000Z</t>
  </si>
  <si>
    <t>2024-05-07T06:39:23.000Z</t>
  </si>
  <si>
    <t>2025-03-18T04:56:12.000Z</t>
  </si>
  <si>
    <t>2024-08-16T11:31:52.000Z</t>
  </si>
  <si>
    <t>2025-11-25T11:12:59.000Z</t>
  </si>
  <si>
    <t>2024-08-17T14:52:30.000Z</t>
  </si>
  <si>
    <t>2026-01-17T12:03:47.000Z</t>
  </si>
  <si>
    <t>2024-09-01T12:58:48.000Z</t>
  </si>
  <si>
    <t>2026-04-15T05:48:11.000Z</t>
  </si>
  <si>
    <t>2024-10-02T13:44:42.000Z</t>
  </si>
  <si>
    <t>2026-01-22T11:15:19.000Z</t>
  </si>
  <si>
    <t>2025-06-21T05:01:14.000Z</t>
  </si>
  <si>
    <t>2026-04-08T07:18:18.000Z</t>
  </si>
  <si>
    <t>2024-01-19T08:57:30.000Z</t>
  </si>
  <si>
    <t>2025-10-09T01:38:19.000Z</t>
  </si>
  <si>
    <t>2024-04-27T11:23:50.000Z</t>
  </si>
  <si>
    <t>2025-11-10T06:14:47.000Z</t>
  </si>
  <si>
    <t>2024-05-17T05:00:22.000Z</t>
  </si>
  <si>
    <t>2025-05-27T07:07:10.000Z</t>
  </si>
  <si>
    <t>2024-05-19T07:03:07.000Z</t>
  </si>
  <si>
    <t>2026-03-20T10:50:40.000Z</t>
  </si>
  <si>
    <t>2024-05-21T14:39:56.000Z</t>
  </si>
  <si>
    <t>2025-10-18T06:51:51.000Z</t>
  </si>
  <si>
    <t>2024-07-06T08:16:55.000Z</t>
  </si>
  <si>
    <t>2026-04-26T08:44:09.000Z</t>
  </si>
  <si>
    <t>2024-07-07T09:59:19.000Z</t>
  </si>
  <si>
    <t>2026-01-23T09:33:41.000Z</t>
  </si>
  <si>
    <t>2024-08-19T04:30:52.000Z</t>
  </si>
  <si>
    <t>2025-12-29T10:11:49.000Z</t>
  </si>
  <si>
    <t>2024-08-19T05:03:27.000Z</t>
  </si>
  <si>
    <t>2026-02-17T05:26:09.000Z</t>
  </si>
  <si>
    <t>2024-12-09T04:32:04.000Z</t>
  </si>
  <si>
    <t>2026-02-01T07:24:32.000Z</t>
  </si>
  <si>
    <t>2024-12-11T07:30:14.000Z</t>
  </si>
  <si>
    <t>2025-10-09T08:08:37.000Z</t>
  </si>
  <si>
    <t>2024-05-03T03:52:02.000Z</t>
  </si>
  <si>
    <t>2025-12-16T04:36:37.000Z</t>
  </si>
  <si>
    <t>2024-05-26T06:06:43.000Z</t>
  </si>
  <si>
    <t>2025-12-26T11:11:56.000Z</t>
  </si>
  <si>
    <t>2024-05-30T10:02:57.000Z</t>
  </si>
  <si>
    <t>2026-03-28T05:58:43.000Z</t>
  </si>
  <si>
    <t>2024-06-24T10:54:38.000Z</t>
  </si>
  <si>
    <t>2025-12-06T09:17:48.000Z</t>
  </si>
  <si>
    <t>2024-07-13T07:13:18.000Z</t>
  </si>
  <si>
    <t>2025-12-27T02:19:33.000Z</t>
  </si>
  <si>
    <t>2024-08-10T08:39:10.000Z</t>
  </si>
  <si>
    <t>2026-05-05T07:22:11.000Z</t>
  </si>
  <si>
    <t>2024-08-21T06:17:37.000Z</t>
  </si>
  <si>
    <t>2025-09-19T06:00:37.000Z</t>
  </si>
  <si>
    <t>2024-08-31T10:10:44.000Z</t>
  </si>
  <si>
    <t>2025-12-17T08:41:42.000Z</t>
  </si>
  <si>
    <t>2024-10-07T11:50:23.000Z</t>
  </si>
  <si>
    <t>2026-02-12T04:22:34.000Z</t>
  </si>
  <si>
    <t>2024-04-18T11:38:14.000Z</t>
  </si>
  <si>
    <t>2025-07-22T12:16:53.000Z</t>
  </si>
  <si>
    <t>2024-05-05T09:20:14.000Z</t>
  </si>
  <si>
    <t>2026-01-06T07:09:14.000Z</t>
  </si>
  <si>
    <t>2024-05-06T06:01:00.000Z</t>
  </si>
  <si>
    <t>2026-02-05T13:34:45.000Z</t>
  </si>
  <si>
    <t>2024-05-28T07:46:14.000Z</t>
  </si>
  <si>
    <t>2025-11-04T05:37:37.000Z</t>
  </si>
  <si>
    <t>2024-06-23T04:56:09.000Z</t>
  </si>
  <si>
    <t>2025-12-03T08:41:27.000Z</t>
  </si>
  <si>
    <t>2024-06-26T08:26:39.000Z</t>
  </si>
  <si>
    <t>2025-03-05T08:37:53.000Z</t>
  </si>
  <si>
    <t>2024-02-07T05:26:03.000Z</t>
  </si>
  <si>
    <t>2025-03-13T10:40:23.000Z</t>
  </si>
  <si>
    <t>2024-03-04T12:29:40.000Z</t>
  </si>
  <si>
    <t>2025-12-17T11:01:48.000Z</t>
  </si>
  <si>
    <t>2024-04-27T06:40:32.000Z</t>
  </si>
  <si>
    <t>2025-07-14T09:57:46.000Z</t>
  </si>
  <si>
    <t>2024-04-30T08:29:44.000Z</t>
  </si>
  <si>
    <t>2025-10-30T05:15:18.000Z</t>
  </si>
  <si>
    <t>2024-05-17T03:35:26.000Z</t>
  </si>
  <si>
    <t>2026-02-22T11:54:35.000Z</t>
  </si>
  <si>
    <t>2024-06-21T09:26:34.000Z</t>
  </si>
  <si>
    <t>2026-02-10T03:51:58.000Z</t>
  </si>
  <si>
    <t>2024-06-22T04:32:57.000Z</t>
  </si>
  <si>
    <t>2026-04-10T10:31:14.000Z</t>
  </si>
  <si>
    <t>2024-08-10T08:24:46.000Z</t>
  </si>
  <si>
    <t>2025-07-23T05:22:14.000Z</t>
  </si>
  <si>
    <t>2024-08-22T09:57:32.000Z</t>
  </si>
  <si>
    <t>2025-08-27T08:42:00.000Z</t>
  </si>
  <si>
    <t>2024-11-05T16:26:31.000Z</t>
  </si>
  <si>
    <t>2026-03-16T05:14:36.000Z</t>
  </si>
  <si>
    <t>2025-01-30T07:19:44.000Z</t>
  </si>
  <si>
    <t>2025-11-18T06:50:43.000Z</t>
  </si>
  <si>
    <t>2024-04-28T03:15:14.000Z</t>
  </si>
  <si>
    <t>2026-01-21T13:05:25.000Z</t>
  </si>
  <si>
    <t>2024-05-24T07:57:04.000Z</t>
  </si>
  <si>
    <t>2026-01-20T11:10:10.000Z</t>
  </si>
  <si>
    <t>2024-06-13T06:09:06.000Z</t>
  </si>
  <si>
    <t>2025-12-23T07:47:17.000Z</t>
  </si>
  <si>
    <t>2024-06-15T05:53:18.000Z</t>
  </si>
  <si>
    <t>2025-12-10T09:30:08.000Z</t>
  </si>
  <si>
    <t>2024-07-16T07:01:26.000Z</t>
  </si>
  <si>
    <t>2026-01-20T04:20:22.000Z</t>
  </si>
  <si>
    <t>2024-07-18T11:32:57.000Z</t>
  </si>
  <si>
    <t>2025-09-28T04:58:10.000Z</t>
  </si>
  <si>
    <t>2025-03-02T11:39:09.000Z</t>
  </si>
  <si>
    <t>2026-03-21T06:37:34.000Z</t>
  </si>
  <si>
    <t>2025-07-24T08:01:17.000Z</t>
  </si>
  <si>
    <t>2025-12-18T07:13:44.000Z</t>
  </si>
  <si>
    <t>2024-05-26T02:26:32.000Z</t>
  </si>
  <si>
    <t>2026-01-02T09:17:16.000Z</t>
  </si>
  <si>
    <t>2024-05-31T08:39:09.000Z</t>
  </si>
  <si>
    <t>2026-01-12T06:13:41.000Z</t>
  </si>
  <si>
    <t>2024-06-10T04:45:41.000Z</t>
  </si>
  <si>
    <t>2025-08-04T12:22:25.000Z</t>
  </si>
  <si>
    <t>2024-06-23T04:17:37.000Z</t>
  </si>
  <si>
    <t>2025-08-27T07:06:17.000Z</t>
  </si>
  <si>
    <t>2024-07-08T06:51:02.000Z</t>
  </si>
  <si>
    <t>2025-12-22T05:48:18.000Z</t>
  </si>
  <si>
    <t>2024-07-10T13:28:16.000Z</t>
  </si>
  <si>
    <t>2025-09-23T13:18:03.000Z</t>
  </si>
  <si>
    <t>2024-07-29T04:07:21.000Z</t>
  </si>
  <si>
    <t>2026-02-26T09:52:25.000Z</t>
  </si>
  <si>
    <t>2024-08-14T10:26:55.000Z</t>
  </si>
  <si>
    <t>2025-12-26T05:28:18.000Z</t>
  </si>
  <si>
    <t>2024-12-14T11:22:28.000Z</t>
  </si>
  <si>
    <t>2026-01-30T13:39:01.000Z</t>
  </si>
  <si>
    <t>2025-04-03T06:07:36.000Z</t>
  </si>
  <si>
    <t>2026-04-27T07:36:16.000Z</t>
  </si>
  <si>
    <t>2025-05-29T10:03:26.000Z</t>
  </si>
  <si>
    <t>2026-04-07T04:52:50.000Z</t>
  </si>
  <si>
    <t>2024-05-04T05:15:05.000Z</t>
  </si>
  <si>
    <t>2025-06-29T06:10:15.000Z</t>
  </si>
  <si>
    <t>2024-05-20T08:11:13.000Z</t>
  </si>
  <si>
    <t>2026-02-12T08:06:57.000Z</t>
  </si>
  <si>
    <t>2024-06-11T08:20:27.000Z</t>
  </si>
  <si>
    <t>2026-02-04T02:38:29.000Z</t>
  </si>
  <si>
    <t>2024-06-21T14:09:20.000Z</t>
  </si>
  <si>
    <t>2025-08-27T08:30:03.000Z</t>
  </si>
  <si>
    <t>2024-06-23T04:25:43.000Z</t>
  </si>
  <si>
    <t>2025-10-11T12:33:40.000Z</t>
  </si>
  <si>
    <t>2024-06-30T07:54:26.000Z</t>
  </si>
  <si>
    <t>2025-09-08T04:44:29.000Z</t>
  </si>
  <si>
    <t>2024-07-08T03:02:27.000Z</t>
  </si>
  <si>
    <t>2025-09-02T09:21:54.000Z</t>
  </si>
  <si>
    <t>2024-07-24T06:20:47.000Z</t>
  </si>
  <si>
    <t>2025-11-25T03:23:08.000Z</t>
  </si>
  <si>
    <t>2024-08-23T05:49:33.000Z</t>
  </si>
  <si>
    <t>2025-03-25T10:18:29.000Z</t>
  </si>
  <si>
    <t>2024-12-16T08:22:00.000Z</t>
  </si>
  <si>
    <t>2025-12-16T06:53:49.000Z</t>
  </si>
  <si>
    <t>2025-01-28T10:55:13.000Z</t>
  </si>
  <si>
    <t>2026-01-16T05:03:24.000Z</t>
  </si>
  <si>
    <t>2025-07-05T08:57:17.000Z</t>
  </si>
  <si>
    <t>2026-03-17T07:37:20.000Z</t>
  </si>
  <si>
    <t>2024-01-10T07:27:06.000Z</t>
  </si>
  <si>
    <t>2025-12-21T13:53:49.000Z</t>
  </si>
  <si>
    <t>2024-04-11T16:57:38.000Z</t>
  </si>
  <si>
    <t>2025-08-06T06:48:08.000Z</t>
  </si>
  <si>
    <t>2024-05-02T03:37:07.000Z</t>
  </si>
  <si>
    <t>2025-12-26T06:03:09.000Z</t>
  </si>
  <si>
    <t>2024-05-20T07:41:29.000Z</t>
  </si>
  <si>
    <t>2025-10-20T07:39:34.000Z</t>
  </si>
  <si>
    <t>2024-05-26T05:37:42.000Z</t>
  </si>
  <si>
    <t>2026-02-03T06:30:45.000Z</t>
  </si>
  <si>
    <t>2024-05-26T08:54:40.000Z</t>
  </si>
  <si>
    <t>2025-09-16T07:28:25.000Z</t>
  </si>
  <si>
    <t>2024-05-29T06:41:22.000Z</t>
  </si>
  <si>
    <t>2026-04-03T14:24:19.000Z</t>
  </si>
  <si>
    <t>2024-05-29T10:40:30.000Z</t>
  </si>
  <si>
    <t>2026-01-07T06:22:33.000Z</t>
  </si>
  <si>
    <t>2024-06-21T09:01:27.000Z</t>
  </si>
  <si>
    <t>2025-10-08T09:36:04.000Z</t>
  </si>
  <si>
    <t>2024-08-01T04:20:15.000Z</t>
  </si>
  <si>
    <t>2026-02-17T11:35:31.000Z</t>
  </si>
  <si>
    <t>2024-08-20T06:54:26.000Z</t>
  </si>
  <si>
    <t>2025-11-04T06:48:09.000Z</t>
  </si>
  <si>
    <t>2024-08-25T06:54:35.000Z</t>
  </si>
  <si>
    <t>2026-01-23T08:13:59.000Z</t>
  </si>
  <si>
    <t>2024-08-27T04:27:56.000Z</t>
  </si>
  <si>
    <t>2025-08-05T05:06:48.000Z</t>
  </si>
  <si>
    <t>2023-12-15T19:42:05.000Z</t>
  </si>
  <si>
    <t>2026-01-12T06:41:46.000Z</t>
  </si>
  <si>
    <t>2024-02-07T04:48:38.000Z</t>
  </si>
  <si>
    <t>2025-06-19T12:50:24.000Z</t>
  </si>
  <si>
    <t>2024-04-18T11:23:33.000Z</t>
  </si>
  <si>
    <t>2024-08-23T05:43:00.000Z</t>
  </si>
  <si>
    <t>2024-04-18T11:33:15.000Z</t>
  </si>
  <si>
    <t>2025-05-05T09:51:15.000Z</t>
  </si>
  <si>
    <t>2024-06-04T05:48:49.000Z</t>
  </si>
  <si>
    <t>2026-01-27T04:22:27.000Z</t>
  </si>
  <si>
    <t>2024-06-08T08:18:07.000Z</t>
  </si>
  <si>
    <t>2026-01-09T06:26:43.000Z</t>
  </si>
  <si>
    <t>2024-07-19T09:28:50.000Z</t>
  </si>
  <si>
    <t>2025-09-22T04:30:08.000Z</t>
  </si>
  <si>
    <t>2024-08-01T04:51:46.000Z</t>
  </si>
  <si>
    <t>2025-11-11T12:28:48.000Z</t>
  </si>
  <si>
    <t>2024-08-11T05:12:03.000Z</t>
  </si>
  <si>
    <t>2026-04-09T06:57:26.000Z</t>
  </si>
  <si>
    <t>K1i00291</t>
  </si>
  <si>
    <t>2024-08-17T10:21:36.000Z</t>
  </si>
  <si>
    <t>2024-09-17T08:51:50.000Z</t>
  </si>
  <si>
    <t>K2i00030</t>
  </si>
  <si>
    <t>2024-08-20T11:22:43.000Z</t>
  </si>
  <si>
    <t>2024-12-04T09:44:57.000Z</t>
  </si>
  <si>
    <t>2024-09-12T09:44:07.000Z</t>
  </si>
  <si>
    <t>2026-04-02T11:32:34.000Z</t>
  </si>
  <si>
    <t>2024-09-13T06:33:33.000Z</t>
  </si>
  <si>
    <t>2025-11-29T07:20:23.000Z</t>
  </si>
  <si>
    <t>2025-02-07T07:31:37.000Z</t>
  </si>
  <si>
    <t>2025-12-16T04:00:12.000Z</t>
  </si>
  <si>
    <t>2025-07-09T04:03:27.000Z</t>
  </si>
  <si>
    <t>2025-10-17T11:07:57.000Z</t>
  </si>
  <si>
    <t>KAS00096</t>
  </si>
  <si>
    <t>2023-07-01T05:57:24.000Z</t>
  </si>
  <si>
    <t>2025-08-12T06:59:26.000Z</t>
  </si>
  <si>
    <t>2024-03-15T07:33:59.000Z</t>
  </si>
  <si>
    <t>2025-02-17T11:00:43.000Z</t>
  </si>
  <si>
    <t>2024-04-23T06:23:36.000Z</t>
  </si>
  <si>
    <t>2025-12-14T13:40:21.000Z</t>
  </si>
  <si>
    <t>2024-05-30T04:07:59.000Z</t>
  </si>
  <si>
    <t>2025-09-11T14:57:46.000Z</t>
  </si>
  <si>
    <t>2024-07-17T08:12:52.000Z</t>
  </si>
  <si>
    <t>2025-02-09T10:30:42.000Z</t>
  </si>
  <si>
    <t>2024-08-01T09:42:44.000Z</t>
  </si>
  <si>
    <t>2025-09-09T07:07:55.000Z</t>
  </si>
  <si>
    <t>2024-08-22T09:27:25.000Z</t>
  </si>
  <si>
    <t>2025-12-24T07:11:12.000Z</t>
  </si>
  <si>
    <t>2024-08-29T08:02:33.000Z</t>
  </si>
  <si>
    <t>2026-05-03T12:26:19.000Z</t>
  </si>
  <si>
    <t>2024-09-09T05:21:46.000Z</t>
  </si>
  <si>
    <t>2026-03-14T06:17:47.000Z</t>
  </si>
  <si>
    <t>2024-09-14T04:23:43.000Z</t>
  </si>
  <si>
    <t>2026-02-19T10:22:54.000Z</t>
  </si>
  <si>
    <t>2024-10-02T04:49:46.000Z</t>
  </si>
  <si>
    <t>2025-10-29T13:47:49.000Z</t>
  </si>
  <si>
    <t>2025-02-05T03:59:05.000Z</t>
  </si>
  <si>
    <t>2026-05-05T11:08:20.000Z</t>
  </si>
  <si>
    <t>2023-06-17T12:01:46.000Z</t>
  </si>
  <si>
    <t>2025-12-27T10:36:18.000Z</t>
  </si>
  <si>
    <t>2024-05-07T03:30:28.000Z</t>
  </si>
  <si>
    <t>2026-01-15T13:11:48.000Z</t>
  </si>
  <si>
    <t>2024-06-02T09:08:14.000Z</t>
  </si>
  <si>
    <t>2026-02-09T10:33:53.000Z</t>
  </si>
  <si>
    <t>2024-06-15T14:16:22.000Z</t>
  </si>
  <si>
    <t>2025-11-17T10:00:14.000Z</t>
  </si>
  <si>
    <t>2024-08-03T04:24:11.000Z</t>
  </si>
  <si>
    <t>2024-10-21T11:57:22.000Z</t>
  </si>
  <si>
    <t>2024-08-13T09:41:18.000Z</t>
  </si>
  <si>
    <t>2026-01-05T10:43:36.000Z</t>
  </si>
  <si>
    <t>2024-09-10T11:26:25.000Z</t>
  </si>
  <si>
    <t>2025-04-08T03:16:16.000Z</t>
  </si>
  <si>
    <t>2024-09-23T06:00:03.000Z</t>
  </si>
  <si>
    <t>2025-12-23T07:03:08.000Z</t>
  </si>
  <si>
    <t>2024-10-09T05:24:50.000Z</t>
  </si>
  <si>
    <t>2026-02-17T05:14:39.000Z</t>
  </si>
  <si>
    <t>2025-01-23T06:38:44.000Z</t>
  </si>
  <si>
    <t>2026-02-11T08:55:04.000Z</t>
  </si>
  <si>
    <t>2025-04-06T07:59:36.000Z</t>
  </si>
  <si>
    <t>2026-02-14T03:27:16.000Z</t>
  </si>
  <si>
    <t>2024-02-24T06:38:48.000Z</t>
  </si>
  <si>
    <t>2024-10-21T04:45:30.000Z</t>
  </si>
  <si>
    <t>2024-04-18T11:33:42.000Z</t>
  </si>
  <si>
    <t>2025-11-12T11:07:20.000Z</t>
  </si>
  <si>
    <t>2024-04-18T11:36:24.000Z</t>
  </si>
  <si>
    <t>2024-08-23T07:15:28.000Z</t>
  </si>
  <si>
    <t>2024-04-22T08:17:34.000Z</t>
  </si>
  <si>
    <t>2025-06-11T08:01:01.000Z</t>
  </si>
  <si>
    <t>2024-05-01T05:13:18.000Z</t>
  </si>
  <si>
    <t>2025-06-19T03:04:19.000Z</t>
  </si>
  <si>
    <t>2024-05-18T04:11:14.000Z</t>
  </si>
  <si>
    <t>2025-12-09T10:05:43.000Z</t>
  </si>
  <si>
    <t>2024-05-18T09:17:31.000Z</t>
  </si>
  <si>
    <t>2025-06-10T03:16:09.000Z</t>
  </si>
  <si>
    <t>2024-05-18T14:08:49.000Z</t>
  </si>
  <si>
    <t>2025-09-24T09:03:14.000Z</t>
  </si>
  <si>
    <t>2024-05-28T12:59:47.000Z</t>
  </si>
  <si>
    <t>2026-01-20T14:35:03.000Z</t>
  </si>
  <si>
    <t>2024-06-21T10:19:02.000Z</t>
  </si>
  <si>
    <t>2024-11-07T08:58:17.000Z</t>
  </si>
  <si>
    <t>2024-08-29T08:44:19.000Z</t>
  </si>
  <si>
    <t>2026-02-20T10:32:20.000Z</t>
  </si>
  <si>
    <t>2024-10-13T06:57:12.000Z</t>
  </si>
  <si>
    <t>2026-01-31T09:48:50.000Z</t>
  </si>
  <si>
    <t>2025-01-29T06:51:16.000Z</t>
  </si>
  <si>
    <t>2025-09-06T05:38:48.000Z</t>
  </si>
  <si>
    <t>2025-04-23T10:18:06.000Z</t>
  </si>
  <si>
    <t>2025-12-19T04:23:38.000Z</t>
  </si>
  <si>
    <t>KAS00094</t>
  </si>
  <si>
    <t>2023-07-15T12:21:10.000Z</t>
  </si>
  <si>
    <t>2025-08-12T06:03:34.000Z</t>
  </si>
  <si>
    <t>KAS00084</t>
  </si>
  <si>
    <t>2023-06-05T02:18:30.000Z</t>
  </si>
  <si>
    <t>2026-01-11T03:53:30.000Z</t>
  </si>
  <si>
    <t>KAS00062</t>
  </si>
  <si>
    <t>2024-04-18T04:26:43.000Z</t>
  </si>
  <si>
    <t>2024-12-13T05:28:23.000Z</t>
  </si>
  <si>
    <t>2024-04-18T11:32:06.000Z</t>
  </si>
  <si>
    <t>2024-10-09T01:57:41.000Z</t>
  </si>
  <si>
    <t>2024-05-08T04:06:09.000Z</t>
  </si>
  <si>
    <t>2025-09-26T04:00:45.000Z</t>
  </si>
  <si>
    <t>2024-05-18T07:14:09.000Z</t>
  </si>
  <si>
    <t>2026-03-25T08:22:35.000Z</t>
  </si>
  <si>
    <t>2024-06-02T05:29:22.000Z</t>
  </si>
  <si>
    <t>2025-06-07T04:48:01.000Z</t>
  </si>
  <si>
    <t>2024-06-20T07:04:12.000Z</t>
  </si>
  <si>
    <t>2025-12-13T07:01:59.000Z</t>
  </si>
  <si>
    <t>K1i00295</t>
  </si>
  <si>
    <t>2024-07-18T05:00:31.000Z</t>
  </si>
  <si>
    <t>2026-04-28T10:06:20.000Z</t>
  </si>
  <si>
    <t>2024-08-02T12:24:39.000Z</t>
  </si>
  <si>
    <t>2025-12-16T10:36:17.000Z</t>
  </si>
  <si>
    <t>2024-08-12T08:28:47.000Z</t>
  </si>
  <si>
    <t>2026-02-07T07:45:50.000Z</t>
  </si>
  <si>
    <t>2024-08-12T08:30:30.000Z</t>
  </si>
  <si>
    <t>2026-01-28T02:13:24.000Z</t>
  </si>
  <si>
    <t>2024-08-14T06:46:01.000Z</t>
  </si>
  <si>
    <t>2025-08-05T08:32:16.000Z</t>
  </si>
  <si>
    <t>2024-08-20T08:16:24.000Z</t>
  </si>
  <si>
    <t>2025-12-27T04:23:58.000Z</t>
  </si>
  <si>
    <t>2024-08-25T18:25:49.000Z</t>
  </si>
  <si>
    <t>2025-01-17T12:42:08.000Z</t>
  </si>
  <si>
    <t>2024-09-21T10:39:34.000Z</t>
  </si>
  <si>
    <t>2026-04-17T09:25:01.000Z</t>
  </si>
  <si>
    <t>2024-11-19T17:10:10.000Z</t>
  </si>
  <si>
    <t>2025-12-24T09:01:54.000Z</t>
  </si>
  <si>
    <t>2024-12-06T06:11:57.000Z</t>
  </si>
  <si>
    <t>2025-08-24T04:18:33.000Z</t>
  </si>
  <si>
    <t>2025-01-09T07:54:37.000Z</t>
  </si>
  <si>
    <t>2026-01-02T08:17:49.000Z</t>
  </si>
  <si>
    <t>2025-01-26T11:48:28.000Z</t>
  </si>
  <si>
    <t>2025-06-27T07:07:00.000Z</t>
  </si>
  <si>
    <t>2025-09-13T11:35:58.000Z</t>
  </si>
  <si>
    <t>2026-04-22T05:19:54.000Z</t>
  </si>
  <si>
    <t>KAS00029</t>
  </si>
  <si>
    <t>2023-11-01T07:08:42.000Z</t>
  </si>
  <si>
    <t>2024-03-19T10:43:49.000Z</t>
  </si>
  <si>
    <t>2023-12-07T13:51:00.000Z</t>
  </si>
  <si>
    <t>2026-04-21T05:33:28.000Z</t>
  </si>
  <si>
    <t>TEST-KAS3</t>
  </si>
  <si>
    <t>2023-12-18T17:05:31.000Z</t>
  </si>
  <si>
    <t>2025-01-04T06:41:29.000Z</t>
  </si>
  <si>
    <t>2024-05-28T08:52:31.000Z</t>
  </si>
  <si>
    <t>2026-01-25T08:27:48.000Z</t>
  </si>
  <si>
    <t>2024-06-25T12:01:27.000Z</t>
  </si>
  <si>
    <t>2026-01-05T09:21:56.000Z</t>
  </si>
  <si>
    <t>2024-07-11T09:04:44.000Z</t>
  </si>
  <si>
    <t>2026-01-07T11:22:52.000Z</t>
  </si>
  <si>
    <t>K1i00296</t>
  </si>
  <si>
    <t>2024-07-18T04:45:13.000Z</t>
  </si>
  <si>
    <t>2025-01-21T10:28:47.000Z</t>
  </si>
  <si>
    <t>2024-08-03T13:15:02.000Z</t>
  </si>
  <si>
    <t>2025-09-26T09:57:24.000Z</t>
  </si>
  <si>
    <t>2024-08-10T05:06:31.000Z</t>
  </si>
  <si>
    <t>2024-09-14T13:33:14.000Z</t>
  </si>
  <si>
    <t>2024-08-24T13:34:54.000Z</t>
  </si>
  <si>
    <t>2024-11-07T12:21:58.000Z</t>
  </si>
  <si>
    <t>2024-09-15T11:47:58.000Z</t>
  </si>
  <si>
    <t>2025-01-20T09:15:06.000Z</t>
  </si>
  <si>
    <t>2025-02-08T05:43:29.000Z</t>
  </si>
  <si>
    <t>2026-04-30T12:46:08.000Z</t>
  </si>
  <si>
    <t>2025-02-18T10:14:24.000Z</t>
  </si>
  <si>
    <t>2026-02-05T06:28:06.000Z</t>
  </si>
  <si>
    <t>2025-07-03T11:10:07.000Z</t>
  </si>
  <si>
    <t>2026-04-27T03:51:58.000Z</t>
  </si>
  <si>
    <t>KAS00003</t>
  </si>
  <si>
    <t>2023-10-13T12:27:46.000Z</t>
  </si>
  <si>
    <t>2024-02-19T16:28:47.000Z</t>
  </si>
  <si>
    <t>2024-04-18T11:32:43.000Z</t>
  </si>
  <si>
    <t>2024-12-17T05:57:17.000Z</t>
  </si>
  <si>
    <t>2024-05-03T05:33:11.000Z</t>
  </si>
  <si>
    <t>2026-04-21T05:38:30.000Z</t>
  </si>
  <si>
    <t>2024-05-23T12:50:58.000Z</t>
  </si>
  <si>
    <t>2025-08-29T11:52:19.000Z</t>
  </si>
  <si>
    <t>2024-05-24T13:44:17.000Z</t>
  </si>
  <si>
    <t>2026-01-24T13:35:30.000Z</t>
  </si>
  <si>
    <t>2024-08-21T05:25:37.000Z</t>
  </si>
  <si>
    <t>2026-02-28T05:12:59.000Z</t>
  </si>
  <si>
    <t>2024-08-21T06:30:33.000Z</t>
  </si>
  <si>
    <t>2025-07-05T05:43:05.000Z</t>
  </si>
  <si>
    <t>2024-09-07T04:16:40.000Z</t>
  </si>
  <si>
    <t>2026-03-08T07:37:22.000Z</t>
  </si>
  <si>
    <t>2024-09-13T12:55:19.000Z</t>
  </si>
  <si>
    <t>2025-08-18T06:08:50.000Z</t>
  </si>
  <si>
    <t>2025-02-05T06:22:40.000Z</t>
  </si>
  <si>
    <t>2025-12-02T08:50:45.000Z</t>
  </si>
  <si>
    <t>2025-07-20T05:07:46.000Z</t>
  </si>
  <si>
    <t>2025-12-19T06:34:50.000Z</t>
  </si>
  <si>
    <t>2025-07-20T13:38:15.000Z</t>
  </si>
  <si>
    <t>2026-01-31T05:25:23.000Z</t>
  </si>
  <si>
    <t>2025-08-04T10:46:40.000Z</t>
  </si>
  <si>
    <t>2026-01-20T03:12:16.000Z</t>
  </si>
  <si>
    <t>2025-08-06T09:02:44.000Z</t>
  </si>
  <si>
    <t>2026-04-15T06:44:46.000Z</t>
  </si>
  <si>
    <t>2025-08-28T10:06:17.000Z</t>
  </si>
  <si>
    <t>2026-01-27T04:48:47.000Z</t>
  </si>
  <si>
    <t>2025-09-26T08:59:30.000Z</t>
  </si>
  <si>
    <t>2026-04-20T08:53:03.000Z</t>
  </si>
  <si>
    <t>KAS00059</t>
  </si>
  <si>
    <t>2023-07-21T12:32:51.000Z</t>
  </si>
  <si>
    <t>2024-03-04T12:57:00.000Z</t>
  </si>
  <si>
    <t>KAS00010</t>
  </si>
  <si>
    <t>2023-07-25T03:40:40.000Z</t>
  </si>
  <si>
    <t>2024-12-09T12:34:27.000Z</t>
  </si>
  <si>
    <t>KAS00053</t>
  </si>
  <si>
    <t>2023-09-17T06:55:41.000Z</t>
  </si>
  <si>
    <t>2024-04-01T04:40:23.000Z</t>
  </si>
  <si>
    <t>2024-04-18T11:34:54.000Z</t>
  </si>
  <si>
    <t>2026-02-09T07:49:17.000Z</t>
  </si>
  <si>
    <t>2024-04-18T11:37:00.000Z</t>
  </si>
  <si>
    <t>2025-07-08T10:25:18.000Z</t>
  </si>
  <si>
    <t>2024-08-02T09:53:44.000Z</t>
  </si>
  <si>
    <t>2026-01-07T16:48:29.000Z</t>
  </si>
  <si>
    <t>2024-08-05T10:35:22.000Z</t>
  </si>
  <si>
    <t>2025-09-16T07:32:50.000Z</t>
  </si>
  <si>
    <t>2024-09-10T04:57:27.000Z</t>
  </si>
  <si>
    <t>2024-12-21T06:10:32.000Z</t>
  </si>
  <si>
    <t>2024-10-18T09:50:49.000Z</t>
  </si>
  <si>
    <t>2025-12-18T16:01:42.000Z</t>
  </si>
  <si>
    <t>2024-11-27T10:32:30.000Z</t>
  </si>
  <si>
    <t>2026-02-06T04:39:32.000Z</t>
  </si>
  <si>
    <t>2024-12-10T13:48:52.000Z</t>
  </si>
  <si>
    <t>2026-01-09T07:33:53.000Z</t>
  </si>
  <si>
    <t>2024-12-21T14:53:49.000Z</t>
  </si>
  <si>
    <t>2025-11-11T05:34:22.000Z</t>
  </si>
  <si>
    <t>K2i00092</t>
  </si>
  <si>
    <t>2025-04-14T07:03:09.000Z</t>
  </si>
  <si>
    <t>2025-07-14T07:48:47.000Z</t>
  </si>
  <si>
    <t>2025-05-22T05:22:27.000Z</t>
  </si>
  <si>
    <t>2025-12-30T09:31:26.000Z</t>
  </si>
  <si>
    <t>KAS00088</t>
  </si>
  <si>
    <t>2023-10-09T13:41:41.000Z</t>
  </si>
  <si>
    <t>2025-09-15T05:36:42.000Z</t>
  </si>
  <si>
    <t>2023-08-28T13:06:56.000Z</t>
  </si>
  <si>
    <t>2024-05-01T08:14:25.000Z</t>
  </si>
  <si>
    <t>KAS00002</t>
  </si>
  <si>
    <t>2023-08-18T09:38:47.000Z</t>
  </si>
  <si>
    <t>2024-03-21T06:37:16.000Z</t>
  </si>
  <si>
    <t>KAS00001</t>
  </si>
  <si>
    <t>2023-08-09T16:28:25.000Z</t>
  </si>
  <si>
    <t>2024-01-25T03:59:55.000Z</t>
  </si>
  <si>
    <t>KAS00056</t>
  </si>
  <si>
    <t>2023-07-30T03:06:20.000Z</t>
  </si>
  <si>
    <t>2024-03-22T11:56:48.000Z</t>
  </si>
  <si>
    <t>KAS00040</t>
  </si>
  <si>
    <t>2023-08-21T10:25:02.000Z</t>
  </si>
  <si>
    <t>2024-03-19T07:04:38.000Z</t>
  </si>
  <si>
    <t>KAS00074</t>
  </si>
  <si>
    <t>2023-11-27T12:30:58.000Z</t>
  </si>
  <si>
    <t>2024-07-30T09:18:47.000Z</t>
  </si>
  <si>
    <t>2024-04-18T11:29:31.000Z</t>
  </si>
  <si>
    <t>2024-11-26T05:01:44.000Z</t>
  </si>
  <si>
    <t>2024-04-18T11:38:45.000Z</t>
  </si>
  <si>
    <t>2024-08-06T05:56:04.000Z</t>
  </si>
  <si>
    <t>2024-04-27T07:55:20.000Z</t>
  </si>
  <si>
    <t>2025-09-09T11:22:59.000Z</t>
  </si>
  <si>
    <t>2024-06-01T05:50:40.000Z</t>
  </si>
  <si>
    <t>2026-01-14T09:49:40.000Z</t>
  </si>
  <si>
    <t>2024-07-28T07:37:58.000Z</t>
  </si>
  <si>
    <t>2025-06-09T11:32:14.000Z</t>
  </si>
  <si>
    <t>2024-07-31T08:46:56.000Z</t>
  </si>
  <si>
    <t>2025-06-16T10:59:53.000Z</t>
  </si>
  <si>
    <t>K1i00292</t>
  </si>
  <si>
    <t>2024-09-01T15:43:58.000Z</t>
  </si>
  <si>
    <t>2024-09-20T15:04:48.000Z</t>
  </si>
  <si>
    <t>2024-09-28T13:15:04.000Z</t>
  </si>
  <si>
    <t>2025-06-18T10:01:59.000Z</t>
  </si>
  <si>
    <t>2024-10-10T11:20:33.000Z</t>
  </si>
  <si>
    <t>2025-06-02T10:14:44.000Z</t>
  </si>
  <si>
    <t>K2i00044</t>
  </si>
  <si>
    <t>2024-12-13T09:50:52.000Z</t>
  </si>
  <si>
    <t>2026-04-11T06:35:08.000Z</t>
  </si>
  <si>
    <t>2025-03-20T09:25:59.000Z</t>
  </si>
  <si>
    <t>2025-12-08T06:36:45.000Z</t>
  </si>
  <si>
    <t>2025-05-31T11:12:07.000Z</t>
  </si>
  <si>
    <t>2026-05-05T08:37:25.000Z</t>
  </si>
  <si>
    <t>2025-07-15T07:03:36.000Z</t>
  </si>
  <si>
    <t>2026-01-12T09:13:58.000Z</t>
  </si>
  <si>
    <t>2025-08-03T16:11:33.000Z</t>
  </si>
  <si>
    <t>2025-12-19T04:26:32.000Z</t>
  </si>
  <si>
    <t>2025-08-15T12:15:43.000Z</t>
  </si>
  <si>
    <t>2026-02-15T12:22:37.000Z</t>
  </si>
  <si>
    <t>2025-10-10T06:56:41.000Z</t>
  </si>
  <si>
    <t>2026-04-02T06:54:07.000Z</t>
  </si>
  <si>
    <t>2025-10-20T04:41:53.000Z</t>
  </si>
  <si>
    <t>2026-02-27T05:58:06.000Z</t>
  </si>
  <si>
    <t>KAS00101</t>
  </si>
  <si>
    <t>2023-08-18T14:05:19.000Z</t>
  </si>
  <si>
    <t>2024-04-02T08:25:14.000Z</t>
  </si>
  <si>
    <t>KAS00073</t>
  </si>
  <si>
    <t>2023-08-02T03:36:37.000Z</t>
  </si>
  <si>
    <t>2024-03-16T07:20:13.000Z</t>
  </si>
  <si>
    <t>KAS00014</t>
  </si>
  <si>
    <t>2023-08-19T08:03:10.000Z</t>
  </si>
  <si>
    <t>2024-03-06T08:14:26.000Z</t>
  </si>
  <si>
    <t>KAS00017</t>
  </si>
  <si>
    <t>2023-11-10T01:56:50.000Z</t>
  </si>
  <si>
    <t>2024-03-07T09:05:46.000Z</t>
  </si>
  <si>
    <t>2023-06-19T05:37:05.000Z</t>
  </si>
  <si>
    <t>2024-01-25T05:21:56.000Z</t>
  </si>
  <si>
    <t>KAS00028</t>
  </si>
  <si>
    <t>2023-08-10T08:03:10.000Z</t>
  </si>
  <si>
    <t>2024-05-27T13:42:11.000Z</t>
  </si>
  <si>
    <t>2023-07-11T08:08:46.000Z</t>
  </si>
  <si>
    <t>2024-03-30T04:41:28.000Z</t>
  </si>
  <si>
    <t>KAS00091</t>
  </si>
  <si>
    <t>2023-09-26T12:18:25.000Z</t>
  </si>
  <si>
    <t>2024-03-30T14:28:43.000Z</t>
  </si>
  <si>
    <t>KAS00006</t>
  </si>
  <si>
    <t>2023-11-01T07:13:25.000Z</t>
  </si>
  <si>
    <t>2024-04-01T12:46:11.000Z</t>
  </si>
  <si>
    <t>KEN00022</t>
  </si>
  <si>
    <t>2024-02-10T04:45:40.000Z</t>
  </si>
  <si>
    <t>2024-05-06T10:32:00.000Z</t>
  </si>
  <si>
    <t>2024-03-14T06:20:58.000Z</t>
  </si>
  <si>
    <t>2024-06-15T08:55:55.000Z</t>
  </si>
  <si>
    <t>2024-06-02T07:56:11.000Z</t>
  </si>
  <si>
    <t>2025-09-04T10:40:40.000Z</t>
  </si>
  <si>
    <t>2024-06-09T04:58:55.000Z</t>
  </si>
  <si>
    <t>2025-07-17T06:10:10.000Z</t>
  </si>
  <si>
    <t>2024-06-12T10:35:28.000Z</t>
  </si>
  <si>
    <t>2025-12-22T10:23:02.000Z</t>
  </si>
  <si>
    <t>2024-08-16T09:10:43.000Z</t>
  </si>
  <si>
    <t>2025-10-01T09:34:53.000Z</t>
  </si>
  <si>
    <t>2024-09-19T04:42:27.000Z</t>
  </si>
  <si>
    <t>2026-02-11T04:38:49.000Z</t>
  </si>
  <si>
    <t>2025-02-13T09:11:49.000Z</t>
  </si>
  <si>
    <t>2025-09-01T11:49:37.000Z</t>
  </si>
  <si>
    <t>2025-05-20T04:01:05.000Z</t>
  </si>
  <si>
    <t>2026-03-03T12:09:37.000Z</t>
  </si>
  <si>
    <t>K2i00098</t>
  </si>
  <si>
    <t>2025-05-22T05:23:47.000Z</t>
  </si>
  <si>
    <t>2026-05-03T05:23:26.000Z</t>
  </si>
  <si>
    <t>2025-05-30T06:05:23.000Z</t>
  </si>
  <si>
    <t>2025-09-28T08:57:09.000Z</t>
  </si>
  <si>
    <t>2025-07-22T06:18:06.000Z</t>
  </si>
  <si>
    <t>2025-12-09T08:42:41.000Z</t>
  </si>
  <si>
    <t>2025-08-01T15:56:01.000Z</t>
  </si>
  <si>
    <t>2026-01-26T13:13:33.000Z</t>
  </si>
  <si>
    <t>2025-10-20T04:36:58.000Z</t>
  </si>
  <si>
    <t>2025-12-29T09:43:46.000Z</t>
  </si>
  <si>
    <t>KAS00103</t>
  </si>
  <si>
    <t>2023-08-27T06:45:19.000Z</t>
  </si>
  <si>
    <t>2024-03-14T10:08:02.000Z</t>
  </si>
  <si>
    <t>KAS00087</t>
  </si>
  <si>
    <t>2023-11-05T04:19:57.000Z</t>
  </si>
  <si>
    <t>2024-03-11T04:47:09.000Z</t>
  </si>
  <si>
    <t>KAS00011</t>
  </si>
  <si>
    <t>2023-10-16T08:01:38.000Z</t>
  </si>
  <si>
    <t>2024-03-08T02:56:24.000Z</t>
  </si>
  <si>
    <t>2023-06-19T05:39:17.000Z</t>
  </si>
  <si>
    <t>2024-03-27T13:43:52.000Z</t>
  </si>
  <si>
    <t>KAS00030</t>
  </si>
  <si>
    <t>2023-08-15T06:36:31.000Z</t>
  </si>
  <si>
    <t>2024-02-21T16:37:30.000Z</t>
  </si>
  <si>
    <t>2023-09-15T04:04:55.000Z</t>
  </si>
  <si>
    <t>2024-03-17T04:26:29.000Z</t>
  </si>
  <si>
    <t>KAS00102</t>
  </si>
  <si>
    <t>2023-12-14T06:36:06.000Z</t>
  </si>
  <si>
    <t>2024-03-22T14:44:19.000Z</t>
  </si>
  <si>
    <t>KAS00060</t>
  </si>
  <si>
    <t>2024-01-10T08:27:31.000Z</t>
  </si>
  <si>
    <t>2024-04-02T12:30:43.000Z</t>
  </si>
  <si>
    <t>2024-04-18T11:34:20.000Z</t>
  </si>
  <si>
    <t>2025-04-15T09:08:27.000Z</t>
  </si>
  <si>
    <t>2024-05-13T14:51:08.000Z</t>
  </si>
  <si>
    <t>2024-10-01T05:11:35.000Z</t>
  </si>
  <si>
    <t>2025-02-05T11:52:19.000Z</t>
  </si>
  <si>
    <t>2025-08-05T08:17:27.000Z</t>
  </si>
  <si>
    <t>2025-07-01T12:05:43.000Z</t>
  </si>
  <si>
    <t>2026-01-09T01:31:17.000Z</t>
  </si>
  <si>
    <t>2025-07-01T12:06:13.000Z</t>
  </si>
  <si>
    <t>2026-04-20T03:42:27.000Z</t>
  </si>
  <si>
    <t>2025-08-16T12:49:02.000Z</t>
  </si>
  <si>
    <t>2025-09-21T10:51:15.000Z</t>
  </si>
  <si>
    <t>2025-08-29T05:39:00.000Z</t>
  </si>
  <si>
    <t>2026-02-16T10:07:55.000Z</t>
  </si>
  <si>
    <t>2025-09-09T15:17:29.000Z</t>
  </si>
  <si>
    <t>2025-09-20T07:24:06.000Z</t>
  </si>
  <si>
    <t>2025-09-12T08:35:10.000Z</t>
  </si>
  <si>
    <t>2026-02-28T13:35:09.000Z</t>
  </si>
  <si>
    <t>2025-10-03T05:50:51.000Z</t>
  </si>
  <si>
    <t>2026-04-23T03:32:16.000Z</t>
  </si>
  <si>
    <t>2026-04-09T04:26:26.000Z</t>
  </si>
  <si>
    <t>2026-04-24T11:38:11.000Z</t>
  </si>
  <si>
    <t>KAS00018</t>
  </si>
  <si>
    <t>2023-05-12T10:38:35.000Z</t>
  </si>
  <si>
    <t>2024-02-29T05:08:29.000Z</t>
  </si>
  <si>
    <t>KAS00072</t>
  </si>
  <si>
    <t>2023-11-06T07:46:50.000Z</t>
  </si>
  <si>
    <t>2024-04-24T08:59:45.000Z</t>
  </si>
  <si>
    <t>KAS00041</t>
  </si>
  <si>
    <t>2023-08-11T08:22:25.000Z</t>
  </si>
  <si>
    <t>2024-01-03T06:57:40.000Z</t>
  </si>
  <si>
    <t>KAS00080</t>
  </si>
  <si>
    <t>2023-05-22T16:44:56.000Z</t>
  </si>
  <si>
    <t>2023-09-25T12:52:17.000Z</t>
  </si>
  <si>
    <t>KAS00071</t>
  </si>
  <si>
    <t>2023-10-28T13:36:17.000Z</t>
  </si>
  <si>
    <t>2024-03-06T13:22:11.000Z</t>
  </si>
  <si>
    <t>KAS00063</t>
  </si>
  <si>
    <t>2023-09-06T12:47:07.000Z</t>
  </si>
  <si>
    <t>2024-03-05T07:52:32.000Z</t>
  </si>
  <si>
    <t>2023-11-19T05:23:23.000Z</t>
  </si>
  <si>
    <t>2023-12-09T09:23:39.000Z</t>
  </si>
  <si>
    <t>2023-07-01T13:46:32.000Z</t>
  </si>
  <si>
    <t>2024-03-20T07:09:33.000Z</t>
  </si>
  <si>
    <t>2023-08-09T17:15:12.000Z</t>
  </si>
  <si>
    <t>2024-04-10T04:19:11.000Z</t>
  </si>
  <si>
    <t>KAS00004</t>
  </si>
  <si>
    <t>2023-11-22T08:12:07.000Z</t>
  </si>
  <si>
    <t>2024-03-06T08:10:23.000Z</t>
  </si>
  <si>
    <t>KAS00067</t>
  </si>
  <si>
    <t>2023-10-30T10:45:41.000Z</t>
  </si>
  <si>
    <t>2024-03-08T03:01:07.000Z</t>
  </si>
  <si>
    <t>KAS00016</t>
  </si>
  <si>
    <t>2023-07-28T10:01:34.000Z</t>
  </si>
  <si>
    <t>2023-12-08T13:44:51.000Z</t>
  </si>
  <si>
    <t>KAS00034</t>
  </si>
  <si>
    <t>2023-11-29T07:51:57.000Z</t>
  </si>
  <si>
    <t>2024-03-20T06:11:05.000Z</t>
  </si>
  <si>
    <t>KAS00098</t>
  </si>
  <si>
    <t>2023-12-14T14:36:46.000Z</t>
  </si>
  <si>
    <t>2024-02-26T10:19:38.000Z</t>
  </si>
  <si>
    <t>KAS00035</t>
  </si>
  <si>
    <t>2023-12-18T08:34:07.000Z</t>
  </si>
  <si>
    <t>2024-03-30T04:29:00.000Z</t>
  </si>
  <si>
    <t>2023-12-20T11:10:35.000Z</t>
  </si>
  <si>
    <t>2024-03-10T07:21:28.000Z</t>
  </si>
  <si>
    <t>KAS00007</t>
  </si>
  <si>
    <t>2023-12-28T06:26:07.000Z</t>
  </si>
  <si>
    <t>2024-05-27T13:43:17.000Z</t>
  </si>
  <si>
    <t>KAS00008</t>
  </si>
  <si>
    <t>2024-01-16T06:52:55.000Z</t>
  </si>
  <si>
    <t>2024-03-08T06:34:45.000Z</t>
  </si>
  <si>
    <t>KEN00013</t>
  </si>
  <si>
    <t>2024-01-30T15:58:47.000Z</t>
  </si>
  <si>
    <t>2024-03-22T06:36:35.000Z</t>
  </si>
  <si>
    <t>KAS00023</t>
  </si>
  <si>
    <t>2024-02-07T11:00:49.000Z</t>
  </si>
  <si>
    <t>2024-02-28T10:32:50.000Z</t>
  </si>
  <si>
    <t>2024-02-08T05:06:08.000Z</t>
  </si>
  <si>
    <t>2024-03-26T15:47:29.000Z</t>
  </si>
  <si>
    <t>KAS00037</t>
  </si>
  <si>
    <t>2024-02-09T07:01:18.000Z</t>
  </si>
  <si>
    <t>2024-03-20T09:31:12.000Z</t>
  </si>
  <si>
    <t>2024-02-09T08:28:12.000Z</t>
  </si>
  <si>
    <t>2024-03-19T16:18:26.000Z</t>
  </si>
  <si>
    <t>2024-02-10T05:54:09.000Z</t>
  </si>
  <si>
    <t>2024-11-25T11:37:45.000Z</t>
  </si>
  <si>
    <t>AVB-HIL</t>
  </si>
  <si>
    <t>2024-02-11T14:26:52.000Z</t>
  </si>
  <si>
    <t>2024-04-30T04:07:03.000Z</t>
  </si>
  <si>
    <t>2024-02-19T10:46:46.000Z</t>
  </si>
  <si>
    <t>2024-07-11T09:21:55.000Z</t>
  </si>
  <si>
    <t>KEN00021</t>
  </si>
  <si>
    <t>2024-02-24T13:44:19.000Z</t>
  </si>
  <si>
    <t>2024-03-31T06:32:13.000Z</t>
  </si>
  <si>
    <t>2024-03-09T03:49:51.000Z</t>
  </si>
  <si>
    <t>2024-03-20T06:12:40.000Z</t>
  </si>
  <si>
    <t>2024-05-13T08:20:35.000Z</t>
  </si>
  <si>
    <t>2026-01-09T08:06:10.000Z</t>
  </si>
  <si>
    <t>2024-05-14T12:58:32.000Z</t>
  </si>
  <si>
    <t>2024-10-07T10:40:03.000Z</t>
  </si>
  <si>
    <t>2024-05-23T04:23:53.000Z</t>
  </si>
  <si>
    <t>2025-05-31T08:55:37.000Z</t>
  </si>
  <si>
    <t>2024-06-17T09:21:19.000Z</t>
  </si>
  <si>
    <t>2025-06-02T07:29:57.000Z</t>
  </si>
  <si>
    <t>2025-01-11T09:31:53.000Z</t>
  </si>
  <si>
    <t>2025-06-10T04:15:27.000Z</t>
  </si>
  <si>
    <t>2025-02-13T08:45:38.000Z</t>
  </si>
  <si>
    <t>2025-06-27T04:30:19.000Z</t>
  </si>
  <si>
    <t>2025-05-19T06:52:37.000Z</t>
  </si>
  <si>
    <t>2026-04-24T04:45:06.000Z</t>
  </si>
  <si>
    <t>2025-06-27T03:21:53.000Z</t>
  </si>
  <si>
    <t>2026-01-21T13:05:41.000Z</t>
  </si>
  <si>
    <t>2025-07-31T11:58:06.000Z</t>
  </si>
  <si>
    <t>2025-08-02T09:50:44.000Z</t>
  </si>
  <si>
    <t>K2i00076</t>
  </si>
  <si>
    <t>2025-08-05T10:04:21.000Z</t>
  </si>
  <si>
    <t>2026-03-09T10:59:27.000Z</t>
  </si>
  <si>
    <t>2025-11-02T08:35:53.000Z</t>
  </si>
  <si>
    <t>2026-02-15T07:51:27.000Z</t>
  </si>
  <si>
    <t>2025-11-21T06:24:52.000Z</t>
  </si>
  <si>
    <t>2026-01-28T08:00:57.000Z</t>
  </si>
  <si>
    <t>2026-03-19T15:33:09.000Z</t>
  </si>
  <si>
    <t>2026-05-02T08:48:48.000Z</t>
  </si>
  <si>
    <t>KAS00093</t>
  </si>
  <si>
    <t>2023-07-04T18:17:29.000Z</t>
  </si>
  <si>
    <t>2023-10-11T16:23:35.000Z</t>
  </si>
  <si>
    <t>KAS00085</t>
  </si>
  <si>
    <t>2023-08-01T11:21:35.000Z</t>
  </si>
  <si>
    <t>2023-11-18T08:50:13.000Z</t>
  </si>
  <si>
    <t>KAS00055</t>
  </si>
  <si>
    <t>2023-08-12T11:08:39.000Z</t>
  </si>
  <si>
    <t>2023-11-05T11:56:39.000Z</t>
  </si>
  <si>
    <t>KAS00050</t>
  </si>
  <si>
    <t>2023-11-24T06:33:57.000Z</t>
  </si>
  <si>
    <t>2024-03-21T11:25:29.000Z</t>
  </si>
  <si>
    <t>2023-09-01T05:25:21.000Z</t>
  </si>
  <si>
    <t>2023-11-27T07:57:14.000Z</t>
  </si>
  <si>
    <t>KAS00100</t>
  </si>
  <si>
    <t>2023-08-22T14:28:12.000Z</t>
  </si>
  <si>
    <t>2024-03-21T06:09:53.000Z</t>
  </si>
  <si>
    <t>KAS00070</t>
  </si>
  <si>
    <t>2023-07-30T12:31:00.000Z</t>
  </si>
  <si>
    <t>2024-02-15T16:05:30.000Z</t>
  </si>
  <si>
    <t>2023-12-20T06:52:16.000Z</t>
  </si>
  <si>
    <t>2024-02-24T11:26:11.000Z</t>
  </si>
  <si>
    <t>KEN00012</t>
  </si>
  <si>
    <t>2024-02-23T17:55:33.000Z</t>
  </si>
  <si>
    <t>2024-03-27T15:15:53.000Z</t>
  </si>
  <si>
    <t>KAS00079</t>
  </si>
  <si>
    <t>2024-02-24T09:50:20.000Z</t>
  </si>
  <si>
    <t>2024-03-11T06:53:05.000Z</t>
  </si>
  <si>
    <t>2024-02-26T02:56:44.000Z</t>
  </si>
  <si>
    <t>2024-03-22T09:04:22.000Z</t>
  </si>
  <si>
    <t>KAS00043</t>
  </si>
  <si>
    <t>2024-03-03T13:21:39.000Z</t>
  </si>
  <si>
    <t>2024-03-29T05:03:48.000Z</t>
  </si>
  <si>
    <t>KAS00075</t>
  </si>
  <si>
    <t>2024-03-05T13:01:32.000Z</t>
  </si>
  <si>
    <t>2024-03-09T04:18:41.000Z</t>
  </si>
  <si>
    <t>KEN00019</t>
  </si>
  <si>
    <t>2024-03-06T16:43:51.000Z</t>
  </si>
  <si>
    <t>2024-03-09T10:46:19.000Z</t>
  </si>
  <si>
    <t>KEN00004</t>
  </si>
  <si>
    <t>2024-03-14T03:13:46.000Z</t>
  </si>
  <si>
    <t>2024-03-14T07:45:21.000Z</t>
  </si>
  <si>
    <t>KEN00017</t>
  </si>
  <si>
    <t>2024-03-14T15:45:33.000Z</t>
  </si>
  <si>
    <t>2024-03-16T06:45:29.000Z</t>
  </si>
  <si>
    <t>2024-05-02T03:41:55.000Z</t>
  </si>
  <si>
    <t>2024-05-03T06:48:50.000Z</t>
  </si>
  <si>
    <t>2024-05-08T10:30:40.000Z</t>
  </si>
  <si>
    <t>2024-05-08T14:07:09.000Z</t>
  </si>
  <si>
    <t>2024-05-14T12:59:57.000Z</t>
  </si>
  <si>
    <t>2024-10-23T09:40:33.000Z</t>
  </si>
  <si>
    <t>2024-05-17T03:37:35.000Z</t>
  </si>
  <si>
    <t>2024-09-04T03:31:10.000Z</t>
  </si>
  <si>
    <t>2024-05-19T16:18:50.000Z</t>
  </si>
  <si>
    <t>2024-06-08T10:22:38.000Z</t>
  </si>
  <si>
    <t>2024-05-31T06:31:38.000Z</t>
  </si>
  <si>
    <t>2025-06-21T04:33:32.000Z</t>
  </si>
  <si>
    <t>K1i00092</t>
  </si>
  <si>
    <t>2024-06-08T10:48:25.000Z</t>
  </si>
  <si>
    <t>2024-06-10T09:36:26.000Z</t>
  </si>
  <si>
    <t>KAS00077</t>
  </si>
  <si>
    <t>2024-06-10T04:45:18.000Z</t>
  </si>
  <si>
    <t>2024-07-18T03:56:04.000Z</t>
  </si>
  <si>
    <t>K2i00029</t>
  </si>
  <si>
    <t>2024-08-24T12:19:06.000Z</t>
  </si>
  <si>
    <t>2024-08-26T10:43:58.000Z</t>
  </si>
  <si>
    <t>2024-08-26T11:57:57.000Z</t>
  </si>
  <si>
    <t>2025-06-10T10:28:23.000Z</t>
  </si>
  <si>
    <t>2024-09-23T07:18:20.000Z</t>
  </si>
  <si>
    <t>2024-12-13T08:50:17.000Z</t>
  </si>
  <si>
    <t>2024-10-03T06:53:51.000Z</t>
  </si>
  <si>
    <t>2024-10-05T17:13:32.000Z</t>
  </si>
  <si>
    <t>2025-01-08T03:52:14.000Z</t>
  </si>
  <si>
    <t>2025-07-11T07:11:15.000Z</t>
  </si>
  <si>
    <t>K2i00045</t>
  </si>
  <si>
    <t>2025-02-04T04:34:59.000Z</t>
  </si>
  <si>
    <t>2025-06-08T12:05:14.000Z</t>
  </si>
  <si>
    <t>2025-02-18T13:46:21.000Z</t>
  </si>
  <si>
    <t>2025-06-02T05:08:25.000Z</t>
  </si>
  <si>
    <t>2025-02-25T09:47:39.000Z</t>
  </si>
  <si>
    <t>2025-04-22T13:42:44.000Z</t>
  </si>
  <si>
    <t>KAS00020</t>
  </si>
  <si>
    <t>2025-04-18T11:41:32.000Z</t>
  </si>
  <si>
    <t>2025-07-01T05:03:39.000Z</t>
  </si>
  <si>
    <t>2025-05-22T05:24:44.000Z</t>
  </si>
  <si>
    <t>2026-01-20T05:35:47.000Z</t>
  </si>
  <si>
    <t>K1i00317</t>
  </si>
  <si>
    <t>2025-05-30T05:21:11.000Z</t>
  </si>
  <si>
    <t>2025-12-04T12:07:21.000Z</t>
  </si>
  <si>
    <t>2025-06-14T05:03:43.000Z</t>
  </si>
  <si>
    <t>2025-08-30T05:07:28.000Z</t>
  </si>
  <si>
    <t>2025-09-08T07:30:02.000Z</t>
  </si>
  <si>
    <t>2025-09-11T08:51:10.000Z</t>
  </si>
  <si>
    <t>2025-09-09T06:37:39.000Z</t>
  </si>
  <si>
    <t>2025-09-11T05:44:59.000Z</t>
  </si>
  <si>
    <t>2025-12-20T10:38:45.000Z</t>
  </si>
  <si>
    <t>2025-12-20T11:50:40.000Z</t>
  </si>
  <si>
    <t>2025-12-23T06:29:40.000Z</t>
  </si>
  <si>
    <t>2026-01-05T06:35:23.000Z</t>
  </si>
  <si>
    <t>2026-01-07T10:14:31.000Z</t>
  </si>
  <si>
    <t>2026-01-10T11:14:16.000Z</t>
  </si>
  <si>
    <t>2026-01-30T12:15:49.000Z</t>
  </si>
  <si>
    <t>2026-04-23T06:51:30.000Z</t>
  </si>
  <si>
    <t>2026-03-15T09:27:03.000Z</t>
  </si>
  <si>
    <t>2026-04-10T05:34:40.000Z</t>
  </si>
  <si>
    <t>2026-03-30T05:55:49.000Z</t>
  </si>
  <si>
    <t>2026-04-10T09:55:15.000Z</t>
  </si>
  <si>
    <t>KAS00095</t>
  </si>
  <si>
    <t>2023-08-08T12:25:47.000Z</t>
  </si>
  <si>
    <t>KEN00006</t>
  </si>
  <si>
    <t>2023-11-08T04:12:23.000Z</t>
  </si>
  <si>
    <t>KAS00048</t>
  </si>
  <si>
    <t>2023-08-24T10:41:25.000Z</t>
  </si>
  <si>
    <t>KAS00097</t>
  </si>
  <si>
    <t>2023-07-18T06:13:43.000Z</t>
  </si>
  <si>
    <t>KAS00066</t>
  </si>
  <si>
    <t>2023-07-04T17:28:36.000Z</t>
  </si>
  <si>
    <t>KAS00092</t>
  </si>
  <si>
    <t>2023-07-10T07:22:37.000Z</t>
  </si>
  <si>
    <t>KAS00045</t>
  </si>
  <si>
    <t>2023-08-26T07:40:35.000Z</t>
  </si>
  <si>
    <t>KEN00018</t>
  </si>
  <si>
    <t>2023-11-03T04:02:25.000Z</t>
  </si>
  <si>
    <t>KAS00026</t>
  </si>
  <si>
    <t>2023-12-09T05:38:45.000Z</t>
  </si>
  <si>
    <t>KAS00076</t>
  </si>
  <si>
    <t>2023-12-15T05:10:49.000Z</t>
  </si>
  <si>
    <t>KAS00089</t>
  </si>
  <si>
    <t>2023-12-18T11:11:08.000Z</t>
  </si>
  <si>
    <t>K1i00026</t>
  </si>
  <si>
    <t>2024-01-08T14:03:07.000Z</t>
  </si>
  <si>
    <t>KAS00024</t>
  </si>
  <si>
    <t>2024-02-07T12:40:28.000Z</t>
  </si>
  <si>
    <t>KAS00054</t>
  </si>
  <si>
    <t>2024-02-09T07:14:24.000Z</t>
  </si>
  <si>
    <t>KAS00036</t>
  </si>
  <si>
    <t>2024-02-09T08:12:29.000Z</t>
  </si>
  <si>
    <t>KASTEST3001</t>
  </si>
  <si>
    <t>2024-02-11T14:58:02.000Z</t>
  </si>
  <si>
    <t>KEN00010</t>
  </si>
  <si>
    <t>2024-02-16T11:00:17.000Z</t>
  </si>
  <si>
    <t>2024-02-22T16:43:03.000Z</t>
  </si>
  <si>
    <t>2024-03-01T02:13:01.000Z</t>
  </si>
  <si>
    <t>KEN00014</t>
  </si>
  <si>
    <t>2024-03-06T18:47:03.000Z</t>
  </si>
  <si>
    <t>KAS00078</t>
  </si>
  <si>
    <t>2024-03-07T04:49:42.000Z</t>
  </si>
  <si>
    <t>KAS00052</t>
  </si>
  <si>
    <t>2024-03-08T02:59:07.000Z</t>
  </si>
  <si>
    <t>KEN00008</t>
  </si>
  <si>
    <t>2024-03-08T11:48:39.000Z</t>
  </si>
  <si>
    <t>KAS00049</t>
  </si>
  <si>
    <t>2024-03-14T07:00:30.000Z</t>
  </si>
  <si>
    <t>2024-03-14T09:26:56.000Z</t>
  </si>
  <si>
    <t>KAS00058</t>
  </si>
  <si>
    <t>2024-03-15T08:31:30.000Z</t>
  </si>
  <si>
    <t>2024-03-21T10:59:05.000Z</t>
  </si>
  <si>
    <t>KAS00099</t>
  </si>
  <si>
    <t>2024-03-22T11:12:12.000Z</t>
  </si>
  <si>
    <t>2024-03-26T05:30:09.000Z</t>
  </si>
  <si>
    <t>KAS00069</t>
  </si>
  <si>
    <t>2024-03-27T15:43:11.000Z</t>
  </si>
  <si>
    <t>2024-04-17T17:25:49.000Z</t>
  </si>
  <si>
    <t>KAS00086</t>
  </si>
  <si>
    <t>2024-04-17T17:28:51.000Z</t>
  </si>
  <si>
    <t>KAS00039</t>
  </si>
  <si>
    <t>2024-05-06T06:52:57.000Z</t>
  </si>
  <si>
    <t>2024-05-19T16:20:34.000Z</t>
  </si>
  <si>
    <t>2024-05-27T11:51:54.000Z</t>
  </si>
  <si>
    <t>2024-07-17T10:39:33.000Z</t>
  </si>
  <si>
    <t>2024-07-17T12:39:17.000Z</t>
  </si>
  <si>
    <t>2024-07-27T12:03:21.000Z</t>
  </si>
  <si>
    <t>2024-07-30T09:36:22.000Z</t>
  </si>
  <si>
    <t>TEST_DRONE</t>
  </si>
  <si>
    <t>2024-08-10T05:27:18.000Z</t>
  </si>
  <si>
    <t>K2i00050</t>
  </si>
  <si>
    <t>2024-08-12T07:53:31.000Z</t>
  </si>
  <si>
    <t>2024-09-16T04:56:56.000Z</t>
  </si>
  <si>
    <t>K2i00046</t>
  </si>
  <si>
    <t>2024-09-28T06:38:50.000Z</t>
  </si>
  <si>
    <t>K2i00059</t>
  </si>
  <si>
    <t>2024-10-04T09:09:52.000Z</t>
  </si>
  <si>
    <t>K2i00051</t>
  </si>
  <si>
    <t>2024-10-14T07:14:11.000Z</t>
  </si>
  <si>
    <t>K1i00299</t>
  </si>
  <si>
    <t>2025-01-11T06:29:10.000Z</t>
  </si>
  <si>
    <t>K2i00055</t>
  </si>
  <si>
    <t>2025-02-24T03:49:13.000Z</t>
  </si>
  <si>
    <t>K1i00323</t>
  </si>
  <si>
    <t>2025-03-07T10:46:28.000Z</t>
  </si>
  <si>
    <t>K1i00321</t>
  </si>
  <si>
    <t>2025-03-12T06:17:57.000Z</t>
  </si>
  <si>
    <t>2025-04-21T10:22:32.000Z</t>
  </si>
  <si>
    <t>2025-05-08T07:20:19.000Z</t>
  </si>
  <si>
    <t>K2i00103</t>
  </si>
  <si>
    <t>2025-05-22T05:21:08.000Z</t>
  </si>
  <si>
    <t>2025-06-12T07:56:57.000Z</t>
  </si>
  <si>
    <t>K2i00090</t>
  </si>
  <si>
    <t>2025-07-10T06:31:46.000Z</t>
  </si>
  <si>
    <t>K2i00111</t>
  </si>
  <si>
    <t>2025-07-11T05:53:31.000Z</t>
  </si>
  <si>
    <t>K2i00118</t>
  </si>
  <si>
    <t>2025-07-11T05:54:50.000Z</t>
  </si>
  <si>
    <t>K2i00087</t>
  </si>
  <si>
    <t>2025-07-11T05:55:53.000Z</t>
  </si>
  <si>
    <t>K2i00142</t>
  </si>
  <si>
    <t>2025-07-11T05:57:04.000Z</t>
  </si>
  <si>
    <t>K2i00133</t>
  </si>
  <si>
    <t>2025-07-16T05:23:27.000Z</t>
  </si>
  <si>
    <t>2025-09-01T05:43:56.000Z</t>
  </si>
  <si>
    <t>2025-09-29T10:02:29.000Z</t>
  </si>
  <si>
    <t>2025-12-09T04:26:13.000Z</t>
  </si>
  <si>
    <t>K2i00128</t>
  </si>
  <si>
    <t>2025-12-26T11:58:26.000Z</t>
  </si>
  <si>
    <t>K2i00116</t>
  </si>
  <si>
    <t>2026-02-28T07:12:33.000Z</t>
  </si>
  <si>
    <t>2026-04-01T11:41:33.000Z</t>
  </si>
  <si>
    <t>2026-04-24T10:16:36.000Z</t>
  </si>
  <si>
    <t>2026-05-05T10:42:12.000Z</t>
  </si>
  <si>
    <t>Grounded?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</si>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</sst>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k Devadiga" id="{74255E7A-B94D-40C6-8F8B-A2FB370E591A}" userId="S::ronak.devadiga@generalaeronautics.com::e7c9b899-d1cc-43ec-8aa2-b4e3bb4851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5-07T06:34:36.35" personId="{74255E7A-B94D-40C6-8F8B-A2FB370E591A}" id="{FC669703-9CAC-4A8B-A812-657A0F787DC6}">
    <text>Proxy for commissioning date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workbookViewId="0">
      <selection activeCell="B1" sqref="B1"/>
    </sheetView>
  </sheetViews>
  <sheetFormatPr defaultRowHeight="15" x14ac:dyDescent="0.25"/>
  <cols>
    <col min="1" max="1" width="50.5703125" bestFit="1" customWidth="1"/>
    <col min="2" max="2" width="1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36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53</v>
      </c>
    </row>
    <row r="30" spans="1:2" x14ac:dyDescent="0.25">
      <c r="A30" t="s">
        <v>55</v>
      </c>
      <c r="B30" t="s">
        <v>53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57</v>
      </c>
    </row>
    <row r="33" spans="1:2" x14ac:dyDescent="0.25">
      <c r="A33" t="s">
        <v>59</v>
      </c>
      <c r="B33" t="s">
        <v>57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63</v>
      </c>
    </row>
    <row r="37" spans="1:2" x14ac:dyDescent="0.25">
      <c r="A37" t="s">
        <v>65</v>
      </c>
      <c r="B37" t="s">
        <v>63</v>
      </c>
    </row>
    <row r="38" spans="1:2" x14ac:dyDescent="0.25">
      <c r="A38" t="s">
        <v>66</v>
      </c>
      <c r="B38" t="s">
        <v>63</v>
      </c>
    </row>
    <row r="39" spans="1:2" x14ac:dyDescent="0.25">
      <c r="A39" t="s">
        <v>67</v>
      </c>
      <c r="B39" t="s">
        <v>63</v>
      </c>
    </row>
    <row r="40" spans="1:2" x14ac:dyDescent="0.25">
      <c r="A40" t="s">
        <v>68</v>
      </c>
      <c r="B40" t="s">
        <v>63</v>
      </c>
    </row>
    <row r="41" spans="1:2" x14ac:dyDescent="0.25">
      <c r="A41" t="s">
        <v>69</v>
      </c>
      <c r="B41" t="s">
        <v>63</v>
      </c>
    </row>
    <row r="42" spans="1:2" x14ac:dyDescent="0.25">
      <c r="A42" t="s">
        <v>70</v>
      </c>
      <c r="B42" t="s">
        <v>63</v>
      </c>
    </row>
    <row r="43" spans="1:2" x14ac:dyDescent="0.25">
      <c r="A43" t="s">
        <v>71</v>
      </c>
      <c r="B43" t="s">
        <v>63</v>
      </c>
    </row>
    <row r="44" spans="1:2" x14ac:dyDescent="0.25">
      <c r="A44" t="s">
        <v>72</v>
      </c>
      <c r="B44" t="s">
        <v>63</v>
      </c>
    </row>
    <row r="45" spans="1:2" x14ac:dyDescent="0.25">
      <c r="A45" t="s">
        <v>73</v>
      </c>
      <c r="B45" t="s">
        <v>63</v>
      </c>
    </row>
    <row r="46" spans="1:2" x14ac:dyDescent="0.25">
      <c r="A46" t="s">
        <v>74</v>
      </c>
      <c r="B46" t="s">
        <v>63</v>
      </c>
    </row>
    <row r="47" spans="1:2" x14ac:dyDescent="0.25">
      <c r="A47" t="s">
        <v>75</v>
      </c>
      <c r="B47" t="s">
        <v>63</v>
      </c>
    </row>
    <row r="48" spans="1:2" x14ac:dyDescent="0.25">
      <c r="A48" t="s">
        <v>76</v>
      </c>
      <c r="B48" t="s">
        <v>77</v>
      </c>
    </row>
    <row r="49" spans="1:2" x14ac:dyDescent="0.25">
      <c r="A49" t="s">
        <v>78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82</v>
      </c>
      <c r="B51" t="s">
        <v>83</v>
      </c>
    </row>
    <row r="52" spans="1:2" x14ac:dyDescent="0.25">
      <c r="A52" t="s">
        <v>84</v>
      </c>
      <c r="B52" t="s">
        <v>85</v>
      </c>
    </row>
    <row r="53" spans="1:2" x14ac:dyDescent="0.25">
      <c r="A53" t="s">
        <v>86</v>
      </c>
      <c r="B53" t="s">
        <v>87</v>
      </c>
    </row>
    <row r="54" spans="1:2" x14ac:dyDescent="0.25">
      <c r="A54" t="s">
        <v>88</v>
      </c>
      <c r="B54" t="s">
        <v>89</v>
      </c>
    </row>
    <row r="55" spans="1:2" x14ac:dyDescent="0.25">
      <c r="A55" t="s">
        <v>90</v>
      </c>
      <c r="B55" t="s">
        <v>89</v>
      </c>
    </row>
    <row r="56" spans="1:2" x14ac:dyDescent="0.25">
      <c r="A56" t="s">
        <v>91</v>
      </c>
      <c r="B56" t="s">
        <v>92</v>
      </c>
    </row>
    <row r="57" spans="1:2" x14ac:dyDescent="0.25">
      <c r="A57" t="s">
        <v>93</v>
      </c>
      <c r="B57" t="s">
        <v>94</v>
      </c>
    </row>
    <row r="58" spans="1:2" x14ac:dyDescent="0.25">
      <c r="A58" t="s">
        <v>95</v>
      </c>
      <c r="B58" t="s">
        <v>96</v>
      </c>
    </row>
    <row r="59" spans="1:2" x14ac:dyDescent="0.25">
      <c r="A59" t="s">
        <v>97</v>
      </c>
      <c r="B59" t="s">
        <v>96</v>
      </c>
    </row>
    <row r="60" spans="1:2" x14ac:dyDescent="0.25">
      <c r="A60" t="s">
        <v>98</v>
      </c>
      <c r="B60" t="s">
        <v>99</v>
      </c>
    </row>
    <row r="61" spans="1:2" x14ac:dyDescent="0.25">
      <c r="A61" t="s">
        <v>100</v>
      </c>
      <c r="B61" t="s">
        <v>101</v>
      </c>
    </row>
    <row r="62" spans="1:2" x14ac:dyDescent="0.25">
      <c r="A62" t="s">
        <v>102</v>
      </c>
      <c r="B62" t="s">
        <v>103</v>
      </c>
    </row>
    <row r="63" spans="1:2" x14ac:dyDescent="0.25">
      <c r="A63" t="s">
        <v>104</v>
      </c>
      <c r="B63" t="s">
        <v>105</v>
      </c>
    </row>
    <row r="64" spans="1:2" x14ac:dyDescent="0.25">
      <c r="A64" t="s">
        <v>106</v>
      </c>
      <c r="B64" t="s">
        <v>105</v>
      </c>
    </row>
    <row r="65" spans="1:2" x14ac:dyDescent="0.25">
      <c r="A65" t="s">
        <v>107</v>
      </c>
      <c r="B65" t="s">
        <v>108</v>
      </c>
    </row>
    <row r="66" spans="1:2" x14ac:dyDescent="0.25">
      <c r="A66" t="s">
        <v>109</v>
      </c>
      <c r="B66" t="s">
        <v>110</v>
      </c>
    </row>
    <row r="67" spans="1:2" x14ac:dyDescent="0.25">
      <c r="A67" t="s">
        <v>111</v>
      </c>
      <c r="B67" t="s">
        <v>112</v>
      </c>
    </row>
    <row r="68" spans="1:2" x14ac:dyDescent="0.25">
      <c r="A68" t="s">
        <v>113</v>
      </c>
      <c r="B68" t="s">
        <v>112</v>
      </c>
    </row>
    <row r="69" spans="1:2" x14ac:dyDescent="0.25">
      <c r="A69" t="s">
        <v>114</v>
      </c>
      <c r="B69" t="s">
        <v>115</v>
      </c>
    </row>
    <row r="70" spans="1:2" x14ac:dyDescent="0.25">
      <c r="A70" t="s">
        <v>116</v>
      </c>
      <c r="B70" t="s">
        <v>117</v>
      </c>
    </row>
    <row r="71" spans="1:2" x14ac:dyDescent="0.25">
      <c r="A71" t="s">
        <v>118</v>
      </c>
      <c r="B71" t="s">
        <v>117</v>
      </c>
    </row>
    <row r="72" spans="1:2" x14ac:dyDescent="0.25">
      <c r="A72" t="s">
        <v>119</v>
      </c>
      <c r="B72" t="s">
        <v>120</v>
      </c>
    </row>
    <row r="73" spans="1:2" x14ac:dyDescent="0.25">
      <c r="A73" t="s">
        <v>121</v>
      </c>
      <c r="B73" t="s">
        <v>122</v>
      </c>
    </row>
    <row r="74" spans="1:2" x14ac:dyDescent="0.25">
      <c r="A74" t="s">
        <v>123</v>
      </c>
      <c r="B74" t="s">
        <v>124</v>
      </c>
    </row>
    <row r="75" spans="1:2" x14ac:dyDescent="0.25">
      <c r="A75" t="s">
        <v>125</v>
      </c>
      <c r="B75" t="s">
        <v>126</v>
      </c>
    </row>
    <row r="76" spans="1:2" x14ac:dyDescent="0.25">
      <c r="A76" t="s">
        <v>127</v>
      </c>
      <c r="B76" t="s">
        <v>128</v>
      </c>
    </row>
    <row r="77" spans="1:2" x14ac:dyDescent="0.25">
      <c r="A77" t="s">
        <v>129</v>
      </c>
      <c r="B77" t="s">
        <v>130</v>
      </c>
    </row>
    <row r="78" spans="1:2" x14ac:dyDescent="0.25">
      <c r="A78" t="s">
        <v>131</v>
      </c>
      <c r="B78" t="s">
        <v>132</v>
      </c>
    </row>
    <row r="79" spans="1:2" x14ac:dyDescent="0.25">
      <c r="A79" t="s">
        <v>133</v>
      </c>
      <c r="B79" t="s">
        <v>132</v>
      </c>
    </row>
    <row r="80" spans="1:2" x14ac:dyDescent="0.25">
      <c r="A80" t="s">
        <v>134</v>
      </c>
      <c r="B80" t="s">
        <v>132</v>
      </c>
    </row>
    <row r="81" spans="1:2" x14ac:dyDescent="0.25">
      <c r="A81" t="s">
        <v>135</v>
      </c>
      <c r="B81" t="s">
        <v>132</v>
      </c>
    </row>
    <row r="82" spans="1:2" x14ac:dyDescent="0.25">
      <c r="A82" t="s">
        <v>136</v>
      </c>
      <c r="B82" t="s">
        <v>137</v>
      </c>
    </row>
    <row r="83" spans="1:2" x14ac:dyDescent="0.25">
      <c r="A83" t="s">
        <v>138</v>
      </c>
      <c r="B83" t="s">
        <v>139</v>
      </c>
    </row>
    <row r="84" spans="1:2" x14ac:dyDescent="0.25">
      <c r="A84" t="s">
        <v>140</v>
      </c>
      <c r="B84" t="s">
        <v>141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146</v>
      </c>
      <c r="B87" t="s">
        <v>145</v>
      </c>
    </row>
    <row r="88" spans="1:2" x14ac:dyDescent="0.25">
      <c r="A88" t="s">
        <v>147</v>
      </c>
      <c r="B88" t="s">
        <v>145</v>
      </c>
    </row>
    <row r="89" spans="1:2" x14ac:dyDescent="0.25">
      <c r="A89" t="s">
        <v>148</v>
      </c>
      <c r="B89" t="s">
        <v>149</v>
      </c>
    </row>
    <row r="90" spans="1:2" x14ac:dyDescent="0.25">
      <c r="A90" t="s">
        <v>150</v>
      </c>
      <c r="B90" t="s">
        <v>151</v>
      </c>
    </row>
    <row r="91" spans="1:2" x14ac:dyDescent="0.25">
      <c r="A91" t="s">
        <v>152</v>
      </c>
      <c r="B91" t="s">
        <v>153</v>
      </c>
    </row>
    <row r="92" spans="1:2" x14ac:dyDescent="0.25">
      <c r="A92" t="s">
        <v>154</v>
      </c>
      <c r="B92" t="s">
        <v>155</v>
      </c>
    </row>
    <row r="93" spans="1:2" x14ac:dyDescent="0.25">
      <c r="A93" t="s">
        <v>156</v>
      </c>
      <c r="B93" t="s">
        <v>155</v>
      </c>
    </row>
    <row r="94" spans="1:2" x14ac:dyDescent="0.25">
      <c r="A94" t="s">
        <v>157</v>
      </c>
      <c r="B94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F510-1A20-4429-8BDA-95757F1DC62E}">
  <dimension ref="A1:E63"/>
  <sheetViews>
    <sheetView workbookViewId="0">
      <selection activeCell="B1" sqref="B1:E1"/>
    </sheetView>
  </sheetViews>
  <sheetFormatPr defaultRowHeight="15" x14ac:dyDescent="0.25"/>
  <sheetData>
    <row r="1" spans="1:5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 x14ac:dyDescent="0.25">
      <c r="A2" t="s">
        <v>29</v>
      </c>
      <c r="B2">
        <v>5904</v>
      </c>
      <c r="C2" t="s">
        <v>164</v>
      </c>
      <c r="D2" t="s">
        <v>165</v>
      </c>
      <c r="E2" t="s">
        <v>166</v>
      </c>
    </row>
    <row r="3" spans="1:5" x14ac:dyDescent="0.25">
      <c r="A3" t="s">
        <v>35</v>
      </c>
      <c r="B3">
        <v>483</v>
      </c>
      <c r="C3" t="s">
        <v>167</v>
      </c>
      <c r="D3" t="s">
        <v>168</v>
      </c>
      <c r="E3" t="s">
        <v>169</v>
      </c>
    </row>
    <row r="4" spans="1:5" x14ac:dyDescent="0.25">
      <c r="A4" t="s">
        <v>11</v>
      </c>
      <c r="B4">
        <v>365</v>
      </c>
      <c r="C4" t="s">
        <v>170</v>
      </c>
      <c r="D4" t="s">
        <v>171</v>
      </c>
      <c r="E4" t="s">
        <v>172</v>
      </c>
    </row>
    <row r="5" spans="1:5" x14ac:dyDescent="0.25">
      <c r="A5" t="s">
        <v>76</v>
      </c>
      <c r="B5">
        <v>337</v>
      </c>
      <c r="C5" t="s">
        <v>173</v>
      </c>
      <c r="D5" t="s">
        <v>174</v>
      </c>
      <c r="E5" t="s">
        <v>175</v>
      </c>
    </row>
    <row r="6" spans="1:5" x14ac:dyDescent="0.25">
      <c r="A6" t="s">
        <v>5</v>
      </c>
      <c r="B6">
        <v>125</v>
      </c>
      <c r="C6" t="s">
        <v>176</v>
      </c>
      <c r="D6" t="s">
        <v>177</v>
      </c>
      <c r="E6" t="s">
        <v>178</v>
      </c>
    </row>
    <row r="7" spans="1:5" x14ac:dyDescent="0.25">
      <c r="A7" t="s">
        <v>125</v>
      </c>
      <c r="B7">
        <v>108</v>
      </c>
      <c r="C7" t="s">
        <v>179</v>
      </c>
      <c r="D7" t="s">
        <v>180</v>
      </c>
      <c r="E7" t="s">
        <v>166</v>
      </c>
    </row>
    <row r="8" spans="1:5" x14ac:dyDescent="0.25">
      <c r="A8" t="s">
        <v>2</v>
      </c>
      <c r="B8">
        <v>80</v>
      </c>
      <c r="C8" t="s">
        <v>181</v>
      </c>
      <c r="D8" t="s">
        <v>182</v>
      </c>
      <c r="E8" t="s">
        <v>183</v>
      </c>
    </row>
    <row r="9" spans="1:5" x14ac:dyDescent="0.25">
      <c r="A9" t="s">
        <v>23</v>
      </c>
      <c r="B9">
        <v>52</v>
      </c>
      <c r="C9" t="s">
        <v>176</v>
      </c>
      <c r="D9" t="s">
        <v>184</v>
      </c>
      <c r="E9" t="s">
        <v>185</v>
      </c>
    </row>
    <row r="10" spans="1:5" x14ac:dyDescent="0.25">
      <c r="A10" t="s">
        <v>9</v>
      </c>
      <c r="B10">
        <v>33</v>
      </c>
      <c r="C10" t="s">
        <v>186</v>
      </c>
      <c r="D10" t="s">
        <v>187</v>
      </c>
      <c r="E10" t="s">
        <v>188</v>
      </c>
    </row>
    <row r="11" spans="1:5" x14ac:dyDescent="0.25">
      <c r="A11" t="s">
        <v>38</v>
      </c>
      <c r="B11">
        <v>28</v>
      </c>
      <c r="C11" t="s">
        <v>189</v>
      </c>
      <c r="D11" t="s">
        <v>190</v>
      </c>
      <c r="E11" t="s">
        <v>191</v>
      </c>
    </row>
    <row r="12" spans="1:5" x14ac:dyDescent="0.25">
      <c r="A12" t="s">
        <v>90</v>
      </c>
      <c r="B12">
        <v>27</v>
      </c>
      <c r="C12" t="s">
        <v>189</v>
      </c>
      <c r="D12" t="s">
        <v>192</v>
      </c>
      <c r="E12" t="s">
        <v>193</v>
      </c>
    </row>
    <row r="13" spans="1:5" x14ac:dyDescent="0.25">
      <c r="A13" t="s">
        <v>31</v>
      </c>
      <c r="B13">
        <v>22</v>
      </c>
      <c r="C13" t="s">
        <v>194</v>
      </c>
      <c r="D13" t="s">
        <v>195</v>
      </c>
      <c r="E13" t="s">
        <v>196</v>
      </c>
    </row>
    <row r="14" spans="1:5" x14ac:dyDescent="0.25">
      <c r="A14" t="s">
        <v>197</v>
      </c>
      <c r="B14">
        <v>22</v>
      </c>
      <c r="C14" t="s">
        <v>198</v>
      </c>
      <c r="D14" t="s">
        <v>199</v>
      </c>
      <c r="E14" t="s">
        <v>200</v>
      </c>
    </row>
    <row r="15" spans="1:5" x14ac:dyDescent="0.25">
      <c r="A15" t="s">
        <v>201</v>
      </c>
      <c r="B15">
        <v>20</v>
      </c>
      <c r="C15" t="s">
        <v>202</v>
      </c>
      <c r="D15" t="s">
        <v>203</v>
      </c>
      <c r="E15" t="s">
        <v>155</v>
      </c>
    </row>
    <row r="16" spans="1:5" x14ac:dyDescent="0.25">
      <c r="A16" t="s">
        <v>58</v>
      </c>
      <c r="B16">
        <v>16</v>
      </c>
      <c r="C16" t="s">
        <v>204</v>
      </c>
      <c r="D16" t="s">
        <v>61</v>
      </c>
      <c r="E16" t="s">
        <v>205</v>
      </c>
    </row>
    <row r="17" spans="1:5" x14ac:dyDescent="0.25">
      <c r="A17" t="s">
        <v>59</v>
      </c>
      <c r="B17">
        <v>16</v>
      </c>
      <c r="C17" t="s">
        <v>176</v>
      </c>
      <c r="D17" t="s">
        <v>61</v>
      </c>
      <c r="E17" t="s">
        <v>206</v>
      </c>
    </row>
    <row r="18" spans="1:5" x14ac:dyDescent="0.25">
      <c r="A18" t="s">
        <v>48</v>
      </c>
      <c r="B18">
        <v>16</v>
      </c>
      <c r="C18" t="s">
        <v>198</v>
      </c>
      <c r="D18" t="s">
        <v>207</v>
      </c>
      <c r="E18" t="s">
        <v>208</v>
      </c>
    </row>
    <row r="19" spans="1:5" x14ac:dyDescent="0.25">
      <c r="A19" t="s">
        <v>56</v>
      </c>
      <c r="B19">
        <v>15</v>
      </c>
      <c r="C19" t="s">
        <v>176</v>
      </c>
      <c r="D19" t="s">
        <v>209</v>
      </c>
      <c r="E19" t="s">
        <v>210</v>
      </c>
    </row>
    <row r="20" spans="1:5" x14ac:dyDescent="0.25">
      <c r="A20" t="s">
        <v>211</v>
      </c>
      <c r="B20">
        <v>13</v>
      </c>
      <c r="C20" t="s">
        <v>176</v>
      </c>
      <c r="D20" t="s">
        <v>212</v>
      </c>
      <c r="E20" t="s">
        <v>213</v>
      </c>
    </row>
    <row r="21" spans="1:5" x14ac:dyDescent="0.25">
      <c r="A21" t="s">
        <v>214</v>
      </c>
      <c r="B21">
        <v>13</v>
      </c>
      <c r="C21" t="s">
        <v>189</v>
      </c>
      <c r="D21" t="s">
        <v>215</v>
      </c>
      <c r="E21" t="s">
        <v>216</v>
      </c>
    </row>
    <row r="22" spans="1:5" x14ac:dyDescent="0.25">
      <c r="A22" t="s">
        <v>7</v>
      </c>
      <c r="B22">
        <v>11</v>
      </c>
      <c r="C22" t="s">
        <v>186</v>
      </c>
      <c r="D22" t="s">
        <v>217</v>
      </c>
      <c r="E22" t="s">
        <v>218</v>
      </c>
    </row>
    <row r="23" spans="1:5" x14ac:dyDescent="0.25">
      <c r="A23" t="s">
        <v>27</v>
      </c>
      <c r="B23">
        <v>10</v>
      </c>
      <c r="C23" t="s">
        <v>198</v>
      </c>
      <c r="D23" t="s">
        <v>219</v>
      </c>
      <c r="E23" t="s">
        <v>220</v>
      </c>
    </row>
    <row r="24" spans="1:5" x14ac:dyDescent="0.25">
      <c r="A24" t="s">
        <v>157</v>
      </c>
      <c r="B24">
        <v>9</v>
      </c>
      <c r="C24" t="s">
        <v>221</v>
      </c>
      <c r="D24" t="s">
        <v>222</v>
      </c>
      <c r="E24" t="s">
        <v>223</v>
      </c>
    </row>
    <row r="25" spans="1:5" x14ac:dyDescent="0.25">
      <c r="A25" t="s">
        <v>64</v>
      </c>
      <c r="B25">
        <v>9</v>
      </c>
      <c r="C25" t="s">
        <v>176</v>
      </c>
      <c r="D25" t="s">
        <v>224</v>
      </c>
      <c r="E25" t="s">
        <v>225</v>
      </c>
    </row>
    <row r="26" spans="1:5" x14ac:dyDescent="0.25">
      <c r="A26" t="s">
        <v>129</v>
      </c>
      <c r="B26">
        <v>8</v>
      </c>
      <c r="C26" t="s">
        <v>186</v>
      </c>
      <c r="D26" t="s">
        <v>226</v>
      </c>
      <c r="E26" t="s">
        <v>227</v>
      </c>
    </row>
    <row r="27" spans="1:5" x14ac:dyDescent="0.25">
      <c r="A27" t="s">
        <v>88</v>
      </c>
      <c r="B27">
        <v>8</v>
      </c>
      <c r="C27" t="s">
        <v>202</v>
      </c>
      <c r="D27" t="s">
        <v>228</v>
      </c>
      <c r="E27" t="s">
        <v>229</v>
      </c>
    </row>
    <row r="28" spans="1:5" x14ac:dyDescent="0.25">
      <c r="A28" t="s">
        <v>33</v>
      </c>
      <c r="B28">
        <v>8</v>
      </c>
      <c r="C28" t="s">
        <v>198</v>
      </c>
      <c r="D28" t="s">
        <v>230</v>
      </c>
      <c r="E28" t="s">
        <v>231</v>
      </c>
    </row>
    <row r="29" spans="1:5" x14ac:dyDescent="0.25">
      <c r="A29" t="s">
        <v>136</v>
      </c>
      <c r="B29">
        <v>7</v>
      </c>
      <c r="C29" t="s">
        <v>186</v>
      </c>
      <c r="D29" t="s">
        <v>232</v>
      </c>
      <c r="E29" t="s">
        <v>233</v>
      </c>
    </row>
    <row r="30" spans="1:5" x14ac:dyDescent="0.25">
      <c r="A30" t="s">
        <v>46</v>
      </c>
      <c r="B30">
        <v>5</v>
      </c>
      <c r="C30" t="s">
        <v>198</v>
      </c>
      <c r="D30" t="s">
        <v>51</v>
      </c>
      <c r="E30" t="s">
        <v>234</v>
      </c>
    </row>
    <row r="31" spans="1:5" x14ac:dyDescent="0.25">
      <c r="A31" t="s">
        <v>50</v>
      </c>
      <c r="B31">
        <v>4</v>
      </c>
      <c r="C31" t="s">
        <v>198</v>
      </c>
      <c r="D31" t="s">
        <v>207</v>
      </c>
      <c r="E31" t="s">
        <v>235</v>
      </c>
    </row>
    <row r="32" spans="1:5" x14ac:dyDescent="0.25">
      <c r="A32" t="s">
        <v>236</v>
      </c>
      <c r="B32">
        <v>4</v>
      </c>
      <c r="C32" t="s">
        <v>202</v>
      </c>
      <c r="D32" t="s">
        <v>101</v>
      </c>
      <c r="E32" t="s">
        <v>237</v>
      </c>
    </row>
    <row r="33" spans="1:5" x14ac:dyDescent="0.25">
      <c r="A33" t="s">
        <v>238</v>
      </c>
      <c r="B33">
        <v>3</v>
      </c>
      <c r="C33" t="s">
        <v>198</v>
      </c>
      <c r="D33" t="s">
        <v>239</v>
      </c>
      <c r="E33" t="s">
        <v>240</v>
      </c>
    </row>
    <row r="34" spans="1:5" x14ac:dyDescent="0.25">
      <c r="A34" t="s">
        <v>241</v>
      </c>
      <c r="B34">
        <v>3</v>
      </c>
      <c r="C34" t="s">
        <v>198</v>
      </c>
      <c r="D34" t="s">
        <v>242</v>
      </c>
      <c r="E34" t="s">
        <v>243</v>
      </c>
    </row>
    <row r="35" spans="1:5" x14ac:dyDescent="0.25">
      <c r="A35" t="s">
        <v>135</v>
      </c>
      <c r="B35">
        <v>3</v>
      </c>
      <c r="C35" t="s">
        <v>186</v>
      </c>
      <c r="D35" t="s">
        <v>244</v>
      </c>
      <c r="E35" t="s">
        <v>245</v>
      </c>
    </row>
    <row r="36" spans="1:5" x14ac:dyDescent="0.25">
      <c r="A36" t="s">
        <v>146</v>
      </c>
      <c r="B36">
        <v>3</v>
      </c>
      <c r="C36" t="s">
        <v>186</v>
      </c>
      <c r="D36" t="s">
        <v>246</v>
      </c>
      <c r="E36" t="s">
        <v>247</v>
      </c>
    </row>
    <row r="37" spans="1:5" x14ac:dyDescent="0.25">
      <c r="A37" t="s">
        <v>248</v>
      </c>
      <c r="B37">
        <v>3</v>
      </c>
      <c r="C37" t="s">
        <v>198</v>
      </c>
      <c r="D37" t="s">
        <v>249</v>
      </c>
      <c r="E37" t="s">
        <v>250</v>
      </c>
    </row>
    <row r="38" spans="1:5" x14ac:dyDescent="0.25">
      <c r="A38" t="s">
        <v>251</v>
      </c>
      <c r="B38">
        <v>3</v>
      </c>
      <c r="C38" t="s">
        <v>198</v>
      </c>
      <c r="D38" t="s">
        <v>213</v>
      </c>
      <c r="E38" t="s">
        <v>252</v>
      </c>
    </row>
    <row r="39" spans="1:5" x14ac:dyDescent="0.25">
      <c r="A39" t="s">
        <v>131</v>
      </c>
      <c r="B39">
        <v>3</v>
      </c>
      <c r="C39" t="s">
        <v>198</v>
      </c>
      <c r="D39" t="s">
        <v>253</v>
      </c>
      <c r="E39" t="s">
        <v>254</v>
      </c>
    </row>
    <row r="40" spans="1:5" x14ac:dyDescent="0.25">
      <c r="A40" t="s">
        <v>113</v>
      </c>
      <c r="B40">
        <v>2</v>
      </c>
      <c r="C40" t="s">
        <v>221</v>
      </c>
      <c r="D40" t="s">
        <v>255</v>
      </c>
      <c r="E40" t="s">
        <v>255</v>
      </c>
    </row>
    <row r="41" spans="1:5" x14ac:dyDescent="0.25">
      <c r="A41" t="s">
        <v>150</v>
      </c>
      <c r="B41">
        <v>2</v>
      </c>
      <c r="C41" t="s">
        <v>186</v>
      </c>
      <c r="D41" t="s">
        <v>232</v>
      </c>
      <c r="E41" t="s">
        <v>256</v>
      </c>
    </row>
    <row r="42" spans="1:5" x14ac:dyDescent="0.25">
      <c r="A42" t="s">
        <v>44</v>
      </c>
      <c r="B42">
        <v>2</v>
      </c>
      <c r="C42" t="s">
        <v>198</v>
      </c>
      <c r="D42" t="s">
        <v>257</v>
      </c>
      <c r="E42" t="s">
        <v>258</v>
      </c>
    </row>
    <row r="43" spans="1:5" x14ac:dyDescent="0.25">
      <c r="A43" t="s">
        <v>127</v>
      </c>
      <c r="B43">
        <v>2</v>
      </c>
      <c r="C43" t="s">
        <v>221</v>
      </c>
      <c r="D43" t="s">
        <v>259</v>
      </c>
      <c r="E43" t="s">
        <v>260</v>
      </c>
    </row>
    <row r="44" spans="1:5" x14ac:dyDescent="0.25">
      <c r="A44" t="s">
        <v>106</v>
      </c>
      <c r="B44">
        <v>2</v>
      </c>
      <c r="C44" t="s">
        <v>186</v>
      </c>
      <c r="D44" t="s">
        <v>261</v>
      </c>
      <c r="E44" t="s">
        <v>262</v>
      </c>
    </row>
    <row r="45" spans="1:5" x14ac:dyDescent="0.25">
      <c r="A45" t="s">
        <v>263</v>
      </c>
      <c r="B45">
        <v>2</v>
      </c>
      <c r="C45" t="s">
        <v>198</v>
      </c>
      <c r="D45" t="s">
        <v>264</v>
      </c>
      <c r="E45" t="s">
        <v>247</v>
      </c>
    </row>
    <row r="46" spans="1:5" x14ac:dyDescent="0.25">
      <c r="A46" t="s">
        <v>66</v>
      </c>
      <c r="B46">
        <v>2</v>
      </c>
      <c r="C46" t="s">
        <v>198</v>
      </c>
      <c r="D46" t="s">
        <v>265</v>
      </c>
      <c r="E46" t="s">
        <v>266</v>
      </c>
    </row>
    <row r="47" spans="1:5" x14ac:dyDescent="0.25">
      <c r="A47" t="s">
        <v>267</v>
      </c>
      <c r="B47">
        <v>2</v>
      </c>
      <c r="C47" t="s">
        <v>198</v>
      </c>
      <c r="D47" t="s">
        <v>268</v>
      </c>
      <c r="E47" t="s">
        <v>269</v>
      </c>
    </row>
    <row r="48" spans="1:5" x14ac:dyDescent="0.25">
      <c r="A48" t="s">
        <v>270</v>
      </c>
      <c r="B48">
        <v>2</v>
      </c>
      <c r="C48" t="s">
        <v>221</v>
      </c>
      <c r="D48" t="s">
        <v>271</v>
      </c>
      <c r="E48" t="s">
        <v>272</v>
      </c>
    </row>
    <row r="49" spans="1:5" x14ac:dyDescent="0.25">
      <c r="A49" t="s">
        <v>17</v>
      </c>
      <c r="B49">
        <v>1</v>
      </c>
      <c r="C49" t="s">
        <v>198</v>
      </c>
      <c r="D49" t="s">
        <v>273</v>
      </c>
      <c r="E49" t="s">
        <v>273</v>
      </c>
    </row>
    <row r="50" spans="1:5" x14ac:dyDescent="0.25">
      <c r="A50" t="s">
        <v>70</v>
      </c>
      <c r="B50">
        <v>1</v>
      </c>
      <c r="C50" t="s">
        <v>198</v>
      </c>
      <c r="D50" t="s">
        <v>242</v>
      </c>
      <c r="E50" t="s">
        <v>242</v>
      </c>
    </row>
    <row r="51" spans="1:5" x14ac:dyDescent="0.25">
      <c r="A51" t="s">
        <v>274</v>
      </c>
      <c r="B51">
        <v>1</v>
      </c>
      <c r="C51" t="s">
        <v>198</v>
      </c>
      <c r="D51" t="s">
        <v>269</v>
      </c>
      <c r="E51" t="s">
        <v>269</v>
      </c>
    </row>
    <row r="52" spans="1:5" x14ac:dyDescent="0.25">
      <c r="A52" t="s">
        <v>65</v>
      </c>
      <c r="B52">
        <v>1</v>
      </c>
      <c r="C52" t="s">
        <v>198</v>
      </c>
      <c r="D52" t="s">
        <v>269</v>
      </c>
      <c r="E52" t="s">
        <v>269</v>
      </c>
    </row>
    <row r="53" spans="1:5" x14ac:dyDescent="0.25">
      <c r="A53" t="s">
        <v>275</v>
      </c>
      <c r="B53">
        <v>1</v>
      </c>
      <c r="C53" t="s">
        <v>198</v>
      </c>
      <c r="D53" t="s">
        <v>276</v>
      </c>
      <c r="E53" t="s">
        <v>276</v>
      </c>
    </row>
    <row r="54" spans="1:5" x14ac:dyDescent="0.25">
      <c r="A54" t="s">
        <v>277</v>
      </c>
      <c r="B54">
        <v>1</v>
      </c>
      <c r="C54" t="s">
        <v>198</v>
      </c>
      <c r="D54" t="s">
        <v>278</v>
      </c>
      <c r="E54" t="s">
        <v>278</v>
      </c>
    </row>
    <row r="55" spans="1:5" x14ac:dyDescent="0.25">
      <c r="A55" t="s">
        <v>279</v>
      </c>
      <c r="B55">
        <v>1</v>
      </c>
      <c r="C55" t="s">
        <v>198</v>
      </c>
      <c r="D55" t="s">
        <v>272</v>
      </c>
      <c r="E55" t="s">
        <v>272</v>
      </c>
    </row>
    <row r="56" spans="1:5" x14ac:dyDescent="0.25">
      <c r="A56" t="s">
        <v>25</v>
      </c>
      <c r="B56">
        <v>1</v>
      </c>
      <c r="C56" t="s">
        <v>198</v>
      </c>
      <c r="D56" t="s">
        <v>280</v>
      </c>
      <c r="E56" t="s">
        <v>280</v>
      </c>
    </row>
    <row r="57" spans="1:5" x14ac:dyDescent="0.25">
      <c r="A57" t="s">
        <v>281</v>
      </c>
      <c r="B57">
        <v>1</v>
      </c>
      <c r="C57" t="s">
        <v>186</v>
      </c>
      <c r="D57" t="s">
        <v>282</v>
      </c>
      <c r="E57" t="s">
        <v>282</v>
      </c>
    </row>
    <row r="58" spans="1:5" x14ac:dyDescent="0.25">
      <c r="A58" t="s">
        <v>283</v>
      </c>
      <c r="B58">
        <v>1</v>
      </c>
      <c r="C58" t="s">
        <v>198</v>
      </c>
      <c r="D58" t="s">
        <v>284</v>
      </c>
      <c r="E58" t="s">
        <v>284</v>
      </c>
    </row>
    <row r="59" spans="1:5" x14ac:dyDescent="0.25">
      <c r="A59" t="s">
        <v>119</v>
      </c>
      <c r="B59">
        <v>1</v>
      </c>
      <c r="C59" t="s">
        <v>198</v>
      </c>
      <c r="D59" t="s">
        <v>285</v>
      </c>
      <c r="E59" t="s">
        <v>285</v>
      </c>
    </row>
    <row r="60" spans="1:5" x14ac:dyDescent="0.25">
      <c r="A60" t="s">
        <v>286</v>
      </c>
      <c r="B60">
        <v>1</v>
      </c>
      <c r="C60" t="s">
        <v>198</v>
      </c>
      <c r="D60" t="s">
        <v>287</v>
      </c>
      <c r="E60" t="s">
        <v>287</v>
      </c>
    </row>
    <row r="61" spans="1:5" x14ac:dyDescent="0.25">
      <c r="A61" t="s">
        <v>288</v>
      </c>
      <c r="B61">
        <v>1</v>
      </c>
      <c r="C61" t="s">
        <v>198</v>
      </c>
      <c r="D61" t="s">
        <v>168</v>
      </c>
      <c r="E61" t="s">
        <v>168</v>
      </c>
    </row>
    <row r="62" spans="1:5" x14ac:dyDescent="0.25">
      <c r="A62" t="s">
        <v>37</v>
      </c>
      <c r="B62">
        <v>1</v>
      </c>
      <c r="C62" t="s">
        <v>198</v>
      </c>
      <c r="D62" t="s">
        <v>289</v>
      </c>
      <c r="E62" t="s">
        <v>289</v>
      </c>
    </row>
    <row r="63" spans="1:5" x14ac:dyDescent="0.25">
      <c r="A63" t="s">
        <v>290</v>
      </c>
      <c r="B63">
        <v>1</v>
      </c>
      <c r="C63" t="s">
        <v>198</v>
      </c>
      <c r="D63" t="s">
        <v>291</v>
      </c>
      <c r="E63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9DBA-71D9-42E6-9128-BAE9B7D0E543}">
  <dimension ref="A1:P447"/>
  <sheetViews>
    <sheetView tabSelected="1" topLeftCell="J1" workbookViewId="0">
      <pane ySplit="1" topLeftCell="A414" activePane="bottomLeft" state="frozen"/>
      <selection pane="bottomLeft" activeCell="O1" sqref="O1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50.5703125" bestFit="1" customWidth="1"/>
    <col min="4" max="4" width="27.42578125" bestFit="1" customWidth="1"/>
    <col min="5" max="5" width="14.7109375" bestFit="1" customWidth="1"/>
    <col min="6" max="6" width="16" bestFit="1" customWidth="1"/>
    <col min="7" max="7" width="16" customWidth="1"/>
    <col min="8" max="8" width="24.28515625" bestFit="1" customWidth="1"/>
    <col min="9" max="9" width="24.140625" bestFit="1" customWidth="1"/>
    <col min="10" max="10" width="17.5703125" bestFit="1" customWidth="1"/>
    <col min="11" max="11" width="20.28515625" bestFit="1" customWidth="1"/>
    <col min="12" max="13" width="25.140625" bestFit="1" customWidth="1"/>
    <col min="14" max="14" width="17.7109375" bestFit="1" customWidth="1"/>
    <col min="15" max="15" width="11.140625" bestFit="1" customWidth="1"/>
  </cols>
  <sheetData>
    <row r="1" spans="1:16" s="2" customFormat="1" x14ac:dyDescent="0.25">
      <c r="A1" s="2" t="s">
        <v>292</v>
      </c>
      <c r="B1" s="2" t="s">
        <v>293</v>
      </c>
      <c r="C1" s="2" t="s">
        <v>294</v>
      </c>
      <c r="D1" s="2" t="s">
        <v>295</v>
      </c>
      <c r="E1" s="2" t="s">
        <v>296</v>
      </c>
      <c r="F1" s="2" t="s">
        <v>297</v>
      </c>
      <c r="G1" s="2" t="s">
        <v>298</v>
      </c>
      <c r="H1" s="2" t="s">
        <v>299</v>
      </c>
      <c r="I1" s="1" t="s">
        <v>300</v>
      </c>
      <c r="J1" s="1" t="s">
        <v>160</v>
      </c>
      <c r="K1" s="1" t="s">
        <v>161</v>
      </c>
      <c r="L1" s="1" t="s">
        <v>162</v>
      </c>
      <c r="M1" s="1" t="s">
        <v>163</v>
      </c>
      <c r="N1" s="2" t="s">
        <v>301</v>
      </c>
      <c r="O1" s="2" t="s">
        <v>2807</v>
      </c>
    </row>
    <row r="2" spans="1:16" x14ac:dyDescent="0.25">
      <c r="A2" t="s">
        <v>302</v>
      </c>
      <c r="B2" t="s">
        <v>303</v>
      </c>
      <c r="C2" t="s">
        <v>23</v>
      </c>
      <c r="D2" t="s">
        <v>304</v>
      </c>
      <c r="E2" t="s">
        <v>305</v>
      </c>
      <c r="F2" t="s">
        <v>306</v>
      </c>
      <c r="G2" s="4">
        <f t="shared" ref="G2:G65" si="0">IF(OR(F2="NULL",F2=""),"",(HOUR(F2)*60)+MINUTE(F2)+(SECOND(F2)/60))</f>
        <v>634.29999999999995</v>
      </c>
      <c r="H2" t="s">
        <v>307</v>
      </c>
      <c r="I2" s="3" t="str">
        <f>VLOOKUP(C2,Customers!A:B,2,FALSE)</f>
        <v>2023:03:18</v>
      </c>
      <c r="J2">
        <f>IFERROR(VLOOKUP($A2,Sheet3!$A:$E,2,FALSE),"")</f>
        <v>12</v>
      </c>
      <c r="K2" t="str">
        <f>IFERROR(VLOOKUP($A2,Sheet3!$A:$E,3,FALSE),"")</f>
        <v>0</v>
      </c>
      <c r="L2" t="str">
        <f>IFERROR(VLOOKUP($A2,Sheet3!$A:$E,4,FALSE),"")</f>
        <v>2023-06-17T12:01:46.000Z</v>
      </c>
      <c r="M2" t="str">
        <f>IFERROR(VLOOKUP($A2,Sheet3!$A:$E,5,FALSE),"")</f>
        <v>2025-12-27T10:36:18.000Z</v>
      </c>
      <c r="N2" s="4">
        <f>IFERROR(LEFT(L2,10)-(LEFT(I2,4)&amp;"-"&amp;MID(I2,6,2)&amp;"-"&amp;RIGHT(I2,2)),"")</f>
        <v>91</v>
      </c>
      <c r="O2" t="s">
        <v>2808</v>
      </c>
      <c r="P2" s="4"/>
    </row>
    <row r="3" spans="1:16" x14ac:dyDescent="0.25">
      <c r="A3" t="s">
        <v>308</v>
      </c>
      <c r="B3" t="s">
        <v>303</v>
      </c>
      <c r="C3" t="s">
        <v>38</v>
      </c>
      <c r="D3" t="s">
        <v>309</v>
      </c>
      <c r="E3" t="s">
        <v>310</v>
      </c>
      <c r="F3" t="s">
        <v>311</v>
      </c>
      <c r="G3" s="4">
        <f t="shared" si="0"/>
        <v>367.46666666666664</v>
      </c>
      <c r="H3" t="s">
        <v>312</v>
      </c>
      <c r="I3" t="str">
        <f>VLOOKUP(C3,Customers!A:B,2,FALSE)</f>
        <v>2024:02:05</v>
      </c>
      <c r="J3">
        <f>IFERROR(VLOOKUP($A3,Sheet3!$A:$E,2,FALSE),"")</f>
        <v>20</v>
      </c>
      <c r="K3" t="str">
        <f>IFERROR(VLOOKUP($A3,Sheet3!$A:$E,3,FALSE),"")</f>
        <v>4</v>
      </c>
      <c r="L3" t="str">
        <f>IFERROR(VLOOKUP($A3,Sheet3!$A:$E,4,FALSE),"")</f>
        <v>2024-06-26T08:26:39.000Z</v>
      </c>
      <c r="M3" t="str">
        <f>IFERROR(VLOOKUP($A3,Sheet3!$A:$E,5,FALSE),"")</f>
        <v>2025-03-05T08:37:53.000Z</v>
      </c>
      <c r="N3" s="4">
        <f t="shared" ref="N3:N66" si="1">IFERROR(LEFT(L3,10)-(LEFT(I3,4)&amp;"-"&amp;MID(I3,6,2)&amp;"-"&amp;RIGHT(I3,2)),"")</f>
        <v>142</v>
      </c>
      <c r="O3" t="s">
        <v>2809</v>
      </c>
    </row>
    <row r="4" spans="1:16" x14ac:dyDescent="0.25">
      <c r="A4" t="s">
        <v>313</v>
      </c>
      <c r="B4" t="s">
        <v>303</v>
      </c>
      <c r="C4" t="s">
        <v>15</v>
      </c>
      <c r="D4" t="s">
        <v>314</v>
      </c>
      <c r="E4" t="s">
        <v>315</v>
      </c>
      <c r="F4" t="s">
        <v>316</v>
      </c>
      <c r="G4" s="4" t="str">
        <f t="shared" si="0"/>
        <v/>
      </c>
      <c r="H4" t="s">
        <v>198</v>
      </c>
      <c r="I4" t="str">
        <f>VLOOKUP(C4,Customers!A:B,2,FALSE)</f>
        <v>2023:01:11</v>
      </c>
      <c r="J4">
        <f>IFERROR(VLOOKUP($A4,Sheet3!$A:$E,2,FALSE),"")</f>
        <v>1</v>
      </c>
      <c r="K4" t="str">
        <f>IFERROR(VLOOKUP($A4,Sheet3!$A:$E,3,FALSE),"")</f>
        <v>0</v>
      </c>
      <c r="L4" t="str">
        <f>IFERROR(VLOOKUP($A4,Sheet3!$A:$E,4,FALSE),"")</f>
        <v>2024-03-26T05:30:09.000Z</v>
      </c>
      <c r="M4" t="str">
        <f>IFERROR(VLOOKUP($A4,Sheet3!$A:$E,5,FALSE),"")</f>
        <v>2024-03-26T05:30:09.000Z</v>
      </c>
      <c r="N4" s="4">
        <f t="shared" si="1"/>
        <v>440</v>
      </c>
      <c r="O4" t="s">
        <v>2808</v>
      </c>
    </row>
    <row r="5" spans="1:16" x14ac:dyDescent="0.25">
      <c r="A5" t="s">
        <v>317</v>
      </c>
      <c r="B5" t="s">
        <v>318</v>
      </c>
      <c r="C5" t="s">
        <v>29</v>
      </c>
      <c r="D5" t="s">
        <v>319</v>
      </c>
      <c r="E5" t="s">
        <v>320</v>
      </c>
      <c r="F5" t="s">
        <v>321</v>
      </c>
      <c r="G5" s="4">
        <f t="shared" si="0"/>
        <v>339.38333333333333</v>
      </c>
      <c r="H5" t="s">
        <v>322</v>
      </c>
      <c r="I5" t="str">
        <f>VLOOKUP(C5,Customers!A:B,2,FALSE)</f>
        <v>2023:11:30</v>
      </c>
      <c r="J5" t="str">
        <f>IFERROR(VLOOKUP($A5,Sheet3!$A:$E,2,FALSE),"")</f>
        <v/>
      </c>
      <c r="K5" t="str">
        <f>IFERROR(VLOOKUP($A5,Sheet3!$A:$E,3,FALSE),"")</f>
        <v/>
      </c>
      <c r="L5" t="str">
        <f>IFERROR(VLOOKUP($A5,Sheet3!$A:$E,4,FALSE),"")</f>
        <v/>
      </c>
      <c r="M5" t="str">
        <f>IFERROR(VLOOKUP($A5,Sheet3!$A:$E,5,FALSE),"")</f>
        <v/>
      </c>
      <c r="N5" s="4" t="str">
        <f t="shared" si="1"/>
        <v/>
      </c>
      <c r="O5" t="s">
        <v>2809</v>
      </c>
    </row>
    <row r="6" spans="1:16" x14ac:dyDescent="0.25">
      <c r="A6" t="s">
        <v>323</v>
      </c>
      <c r="B6" t="s">
        <v>303</v>
      </c>
      <c r="C6" t="s">
        <v>13</v>
      </c>
      <c r="D6" t="s">
        <v>324</v>
      </c>
      <c r="E6" t="s">
        <v>325</v>
      </c>
      <c r="F6" t="s">
        <v>326</v>
      </c>
      <c r="G6" s="4">
        <f t="shared" si="0"/>
        <v>26.25</v>
      </c>
      <c r="H6" t="s">
        <v>198</v>
      </c>
      <c r="I6" t="str">
        <f>VLOOKUP(C6,Customers!A:B,2,FALSE)</f>
        <v>2023:01:05</v>
      </c>
      <c r="J6">
        <f>IFERROR(VLOOKUP($A6,Sheet3!$A:$E,2,FALSE),"")</f>
        <v>2</v>
      </c>
      <c r="K6" t="str">
        <f>IFERROR(VLOOKUP($A6,Sheet3!$A:$E,3,FALSE),"")</f>
        <v>0</v>
      </c>
      <c r="L6" t="str">
        <f>IFERROR(VLOOKUP($A6,Sheet3!$A:$E,4,FALSE),"")</f>
        <v>2023-09-01T05:25:21.000Z</v>
      </c>
      <c r="M6" t="str">
        <f>IFERROR(VLOOKUP($A6,Sheet3!$A:$E,5,FALSE),"")</f>
        <v>2023-11-27T07:57:14.000Z</v>
      </c>
      <c r="N6" s="4">
        <f t="shared" si="1"/>
        <v>239</v>
      </c>
      <c r="O6" t="s">
        <v>2808</v>
      </c>
    </row>
    <row r="7" spans="1:16" x14ac:dyDescent="0.25">
      <c r="A7" t="s">
        <v>327</v>
      </c>
      <c r="B7" t="s">
        <v>303</v>
      </c>
      <c r="C7" t="s">
        <v>5</v>
      </c>
      <c r="D7" t="s">
        <v>328</v>
      </c>
      <c r="E7" t="s">
        <v>329</v>
      </c>
      <c r="F7" t="s">
        <v>330</v>
      </c>
      <c r="G7" s="4">
        <f t="shared" si="0"/>
        <v>33.799999999999997</v>
      </c>
      <c r="H7" t="s">
        <v>198</v>
      </c>
      <c r="I7" t="str">
        <f>VLOOKUP(C7,Customers!A:B,2,FALSE)</f>
        <v>2022:07:15</v>
      </c>
      <c r="J7">
        <f>IFERROR(VLOOKUP($A7,Sheet3!$A:$E,2,FALSE),"")</f>
        <v>3</v>
      </c>
      <c r="K7" t="str">
        <f>IFERROR(VLOOKUP($A7,Sheet3!$A:$E,3,FALSE),"")</f>
        <v>0</v>
      </c>
      <c r="L7" t="str">
        <f>IFERROR(VLOOKUP($A7,Sheet3!$A:$E,4,FALSE),"")</f>
        <v>2024-03-09T03:49:51.000Z</v>
      </c>
      <c r="M7" t="str">
        <f>IFERROR(VLOOKUP($A7,Sheet3!$A:$E,5,FALSE),"")</f>
        <v>2024-03-20T06:12:40.000Z</v>
      </c>
      <c r="N7" s="4">
        <f t="shared" si="1"/>
        <v>603</v>
      </c>
      <c r="O7" t="s">
        <v>2809</v>
      </c>
    </row>
    <row r="8" spans="1:16" x14ac:dyDescent="0.25">
      <c r="A8" t="s">
        <v>331</v>
      </c>
      <c r="B8" t="s">
        <v>303</v>
      </c>
      <c r="C8" t="s">
        <v>5</v>
      </c>
      <c r="D8" t="s">
        <v>328</v>
      </c>
      <c r="E8" t="s">
        <v>329</v>
      </c>
      <c r="F8" t="s">
        <v>332</v>
      </c>
      <c r="G8" s="4">
        <f t="shared" si="0"/>
        <v>27.483333333333334</v>
      </c>
      <c r="H8" t="s">
        <v>198</v>
      </c>
      <c r="I8" t="str">
        <f>VLOOKUP(C8,Customers!A:B,2,FALSE)</f>
        <v>2022:07:15</v>
      </c>
      <c r="J8">
        <f>IFERROR(VLOOKUP($A8,Sheet3!$A:$E,2,FALSE),"")</f>
        <v>11</v>
      </c>
      <c r="K8" t="str">
        <f>IFERROR(VLOOKUP($A8,Sheet3!$A:$E,3,FALSE),"")</f>
        <v>0</v>
      </c>
      <c r="L8" t="str">
        <f>IFERROR(VLOOKUP($A8,Sheet3!$A:$E,4,FALSE),"")</f>
        <v>2024-02-24T06:38:48.000Z</v>
      </c>
      <c r="M8" t="str">
        <f>IFERROR(VLOOKUP($A8,Sheet3!$A:$E,5,FALSE),"")</f>
        <v>2024-10-21T04:45:30.000Z</v>
      </c>
      <c r="N8" s="4">
        <f t="shared" si="1"/>
        <v>589</v>
      </c>
      <c r="O8" t="s">
        <v>2808</v>
      </c>
    </row>
    <row r="9" spans="1:16" x14ac:dyDescent="0.25">
      <c r="A9" t="s">
        <v>333</v>
      </c>
      <c r="B9" t="s">
        <v>303</v>
      </c>
      <c r="C9" t="s">
        <v>13</v>
      </c>
      <c r="D9" t="s">
        <v>324</v>
      </c>
      <c r="E9" t="s">
        <v>325</v>
      </c>
      <c r="F9" t="s">
        <v>334</v>
      </c>
      <c r="G9" s="4">
        <f t="shared" si="0"/>
        <v>72.716666666666669</v>
      </c>
      <c r="H9" t="s">
        <v>198</v>
      </c>
      <c r="I9" t="str">
        <f>VLOOKUP(C9,Customers!A:B,2,FALSE)</f>
        <v>2023:01:05</v>
      </c>
      <c r="J9">
        <f>IFERROR(VLOOKUP($A9,Sheet3!$A:$E,2,FALSE),"")</f>
        <v>1</v>
      </c>
      <c r="K9" t="str">
        <f>IFERROR(VLOOKUP($A9,Sheet3!$A:$E,3,FALSE),"")</f>
        <v>0</v>
      </c>
      <c r="L9" t="str">
        <f>IFERROR(VLOOKUP($A9,Sheet3!$A:$E,4,FALSE),"")</f>
        <v>2024-03-14T09:26:56.000Z</v>
      </c>
      <c r="M9" t="str">
        <f>IFERROR(VLOOKUP($A9,Sheet3!$A:$E,5,FALSE),"")</f>
        <v>2024-03-14T09:26:56.000Z</v>
      </c>
      <c r="N9" s="4">
        <f t="shared" si="1"/>
        <v>434</v>
      </c>
      <c r="O9" t="s">
        <v>2809</v>
      </c>
    </row>
    <row r="10" spans="1:16" x14ac:dyDescent="0.25">
      <c r="A10" t="s">
        <v>335</v>
      </c>
      <c r="B10" t="s">
        <v>303</v>
      </c>
      <c r="C10" t="s">
        <v>13</v>
      </c>
      <c r="D10" t="s">
        <v>324</v>
      </c>
      <c r="E10" t="s">
        <v>325</v>
      </c>
      <c r="F10" t="s">
        <v>316</v>
      </c>
      <c r="G10" s="4" t="str">
        <f t="shared" si="0"/>
        <v/>
      </c>
      <c r="H10" t="s">
        <v>198</v>
      </c>
      <c r="I10" t="str">
        <f>VLOOKUP(C10,Customers!A:B,2,FALSE)</f>
        <v>2023:01:05</v>
      </c>
      <c r="J10">
        <f>IFERROR(VLOOKUP($A10,Sheet3!$A:$E,2,FALSE),"")</f>
        <v>2</v>
      </c>
      <c r="K10" t="str">
        <f>IFERROR(VLOOKUP($A10,Sheet3!$A:$E,3,FALSE),"")</f>
        <v>0</v>
      </c>
      <c r="L10" t="str">
        <f>IFERROR(VLOOKUP($A10,Sheet3!$A:$E,4,FALSE),"")</f>
        <v>2023-12-20T06:52:16.000Z</v>
      </c>
      <c r="M10" t="str">
        <f>IFERROR(VLOOKUP($A10,Sheet3!$A:$E,5,FALSE),"")</f>
        <v>2024-02-24T11:26:11.000Z</v>
      </c>
      <c r="N10" s="4">
        <f t="shared" si="1"/>
        <v>349</v>
      </c>
      <c r="O10" t="s">
        <v>2808</v>
      </c>
    </row>
    <row r="11" spans="1:16" x14ac:dyDescent="0.25">
      <c r="A11" t="s">
        <v>336</v>
      </c>
      <c r="B11" t="s">
        <v>303</v>
      </c>
      <c r="C11" t="s">
        <v>5</v>
      </c>
      <c r="D11" t="s">
        <v>328</v>
      </c>
      <c r="E11" t="s">
        <v>329</v>
      </c>
      <c r="F11" t="s">
        <v>337</v>
      </c>
      <c r="G11" s="4">
        <f t="shared" si="0"/>
        <v>50.93333333333333</v>
      </c>
      <c r="H11" t="s">
        <v>198</v>
      </c>
      <c r="I11" t="str">
        <f>VLOOKUP(C11,Customers!A:B,2,FALSE)</f>
        <v>2022:07:15</v>
      </c>
      <c r="J11">
        <f>IFERROR(VLOOKUP($A11,Sheet3!$A:$E,2,FALSE),"")</f>
        <v>3</v>
      </c>
      <c r="K11" t="str">
        <f>IFERROR(VLOOKUP($A11,Sheet3!$A:$E,3,FALSE),"")</f>
        <v>0</v>
      </c>
      <c r="L11" t="str">
        <f>IFERROR(VLOOKUP($A11,Sheet3!$A:$E,4,FALSE),"")</f>
        <v>2023-07-01T13:46:32.000Z</v>
      </c>
      <c r="M11" t="str">
        <f>IFERROR(VLOOKUP($A11,Sheet3!$A:$E,5,FALSE),"")</f>
        <v>2024-03-20T07:09:33.000Z</v>
      </c>
      <c r="N11" s="4">
        <f t="shared" si="1"/>
        <v>351</v>
      </c>
      <c r="O11" t="s">
        <v>2809</v>
      </c>
    </row>
    <row r="12" spans="1:16" x14ac:dyDescent="0.25">
      <c r="A12" t="s">
        <v>338</v>
      </c>
      <c r="B12" t="s">
        <v>303</v>
      </c>
      <c r="C12" t="s">
        <v>13</v>
      </c>
      <c r="D12" t="s">
        <v>324</v>
      </c>
      <c r="E12" t="s">
        <v>325</v>
      </c>
      <c r="F12" t="s">
        <v>339</v>
      </c>
      <c r="G12" s="4">
        <f t="shared" si="0"/>
        <v>9.9333333333333336</v>
      </c>
      <c r="H12" t="s">
        <v>198</v>
      </c>
      <c r="I12" t="str">
        <f>VLOOKUP(C12,Customers!A:B,2,FALSE)</f>
        <v>2023:01:05</v>
      </c>
      <c r="J12">
        <f>IFERROR(VLOOKUP($A12,Sheet3!$A:$E,2,FALSE),"")</f>
        <v>1</v>
      </c>
      <c r="K12" t="str">
        <f>IFERROR(VLOOKUP($A12,Sheet3!$A:$E,3,FALSE),"")</f>
        <v>0</v>
      </c>
      <c r="L12" t="str">
        <f>IFERROR(VLOOKUP($A12,Sheet3!$A:$E,4,FALSE),"")</f>
        <v>2024-03-21T10:59:05.000Z</v>
      </c>
      <c r="M12" t="str">
        <f>IFERROR(VLOOKUP($A12,Sheet3!$A:$E,5,FALSE),"")</f>
        <v>2024-03-21T10:59:05.000Z</v>
      </c>
      <c r="N12" s="4">
        <f t="shared" si="1"/>
        <v>441</v>
      </c>
      <c r="O12" t="s">
        <v>2808</v>
      </c>
    </row>
    <row r="13" spans="1:16" x14ac:dyDescent="0.25">
      <c r="A13" t="s">
        <v>340</v>
      </c>
      <c r="B13" t="s">
        <v>303</v>
      </c>
      <c r="C13" t="s">
        <v>13</v>
      </c>
      <c r="D13" t="s">
        <v>324</v>
      </c>
      <c r="E13" t="s">
        <v>325</v>
      </c>
      <c r="F13" t="s">
        <v>316</v>
      </c>
      <c r="G13" s="4" t="str">
        <f t="shared" si="0"/>
        <v/>
      </c>
      <c r="H13" t="s">
        <v>198</v>
      </c>
      <c r="I13" t="str">
        <f>VLOOKUP(C13,Customers!A:B,2,FALSE)</f>
        <v>2023:01:05</v>
      </c>
      <c r="J13">
        <f>IFERROR(VLOOKUP($A13,Sheet3!$A:$E,2,FALSE),"")</f>
        <v>3</v>
      </c>
      <c r="K13" t="str">
        <f>IFERROR(VLOOKUP($A13,Sheet3!$A:$E,3,FALSE),"")</f>
        <v>0</v>
      </c>
      <c r="L13" t="str">
        <f>IFERROR(VLOOKUP($A13,Sheet3!$A:$E,4,FALSE),"")</f>
        <v>2023-12-20T11:10:35.000Z</v>
      </c>
      <c r="M13" t="str">
        <f>IFERROR(VLOOKUP($A13,Sheet3!$A:$E,5,FALSE),"")</f>
        <v>2024-03-10T07:21:28.000Z</v>
      </c>
      <c r="N13" s="4">
        <f t="shared" si="1"/>
        <v>349</v>
      </c>
      <c r="O13" t="s">
        <v>2809</v>
      </c>
    </row>
    <row r="14" spans="1:16" x14ac:dyDescent="0.25">
      <c r="A14" t="s">
        <v>341</v>
      </c>
      <c r="B14" t="s">
        <v>303</v>
      </c>
      <c r="C14" t="s">
        <v>21</v>
      </c>
      <c r="D14" t="s">
        <v>342</v>
      </c>
      <c r="E14" t="s">
        <v>343</v>
      </c>
      <c r="F14" t="s">
        <v>344</v>
      </c>
      <c r="G14" s="4">
        <f t="shared" si="0"/>
        <v>192.81666666666666</v>
      </c>
      <c r="H14" t="s">
        <v>345</v>
      </c>
      <c r="I14" t="str">
        <f>VLOOKUP(C14,Customers!A:B,2,FALSE)</f>
        <v>2023:02:15</v>
      </c>
      <c r="J14">
        <f>IFERROR(VLOOKUP($A14,Sheet3!$A:$E,2,FALSE),"")</f>
        <v>1</v>
      </c>
      <c r="K14" t="str">
        <f>IFERROR(VLOOKUP($A14,Sheet3!$A:$E,3,FALSE),"")</f>
        <v>0</v>
      </c>
      <c r="L14" t="str">
        <f>IFERROR(VLOOKUP($A14,Sheet3!$A:$E,4,FALSE),"")</f>
        <v>2024-07-30T09:36:22.000Z</v>
      </c>
      <c r="M14" t="str">
        <f>IFERROR(VLOOKUP($A14,Sheet3!$A:$E,5,FALSE),"")</f>
        <v>2024-07-30T09:36:22.000Z</v>
      </c>
      <c r="N14" s="4">
        <f t="shared" si="1"/>
        <v>531</v>
      </c>
      <c r="O14" t="s">
        <v>2808</v>
      </c>
    </row>
    <row r="15" spans="1:16" x14ac:dyDescent="0.25">
      <c r="A15" t="s">
        <v>346</v>
      </c>
      <c r="B15" t="s">
        <v>303</v>
      </c>
      <c r="C15" t="s">
        <v>5</v>
      </c>
      <c r="D15" t="s">
        <v>328</v>
      </c>
      <c r="E15" t="s">
        <v>329</v>
      </c>
      <c r="F15" t="s">
        <v>316</v>
      </c>
      <c r="G15" s="4" t="str">
        <f t="shared" si="0"/>
        <v/>
      </c>
      <c r="H15" t="s">
        <v>198</v>
      </c>
      <c r="I15" t="str">
        <f>VLOOKUP(C15,Customers!A:B,2,FALSE)</f>
        <v>2022:07:15</v>
      </c>
      <c r="J15">
        <f>IFERROR(VLOOKUP($A15,Sheet3!$A:$E,2,FALSE),"")</f>
        <v>3</v>
      </c>
      <c r="K15" t="str">
        <f>IFERROR(VLOOKUP($A15,Sheet3!$A:$E,3,FALSE),"")</f>
        <v>1</v>
      </c>
      <c r="L15" t="str">
        <f>IFERROR(VLOOKUP($A15,Sheet3!$A:$E,4,FALSE),"")</f>
        <v>2024-02-08T05:06:08.000Z</v>
      </c>
      <c r="M15" t="str">
        <f>IFERROR(VLOOKUP($A15,Sheet3!$A:$E,5,FALSE),"")</f>
        <v>2024-03-26T15:47:29.000Z</v>
      </c>
      <c r="N15" s="4">
        <f t="shared" si="1"/>
        <v>573</v>
      </c>
      <c r="O15" t="s">
        <v>2809</v>
      </c>
    </row>
    <row r="16" spans="1:16" x14ac:dyDescent="0.25">
      <c r="A16" t="s">
        <v>347</v>
      </c>
      <c r="B16" t="s">
        <v>303</v>
      </c>
      <c r="C16" t="s">
        <v>5</v>
      </c>
      <c r="D16" t="s">
        <v>328</v>
      </c>
      <c r="E16" t="s">
        <v>329</v>
      </c>
      <c r="F16" t="s">
        <v>316</v>
      </c>
      <c r="G16" s="4" t="str">
        <f t="shared" si="0"/>
        <v/>
      </c>
      <c r="H16" t="s">
        <v>198</v>
      </c>
      <c r="I16" t="str">
        <f>VLOOKUP(C16,Customers!A:B,2,FALSE)</f>
        <v>2022:07:15</v>
      </c>
      <c r="J16">
        <f>IFERROR(VLOOKUP($A16,Sheet3!$A:$E,2,FALSE),"")</f>
        <v>3</v>
      </c>
      <c r="K16" t="str">
        <f>IFERROR(VLOOKUP($A16,Sheet3!$A:$E,3,FALSE),"")</f>
        <v>1</v>
      </c>
      <c r="L16" t="str">
        <f>IFERROR(VLOOKUP($A16,Sheet3!$A:$E,4,FALSE),"")</f>
        <v>2024-02-09T08:28:12.000Z</v>
      </c>
      <c r="M16" t="str">
        <f>IFERROR(VLOOKUP($A16,Sheet3!$A:$E,5,FALSE),"")</f>
        <v>2024-03-19T16:18:26.000Z</v>
      </c>
      <c r="N16" s="4">
        <f t="shared" si="1"/>
        <v>574</v>
      </c>
      <c r="O16" t="s">
        <v>2808</v>
      </c>
    </row>
    <row r="17" spans="1:15" x14ac:dyDescent="0.25">
      <c r="A17" t="s">
        <v>348</v>
      </c>
      <c r="B17" t="s">
        <v>303</v>
      </c>
      <c r="C17" t="s">
        <v>5</v>
      </c>
      <c r="D17" t="s">
        <v>328</v>
      </c>
      <c r="E17" t="s">
        <v>329</v>
      </c>
      <c r="F17" t="s">
        <v>349</v>
      </c>
      <c r="G17" s="4">
        <f t="shared" si="0"/>
        <v>33</v>
      </c>
      <c r="H17" t="s">
        <v>198</v>
      </c>
      <c r="I17" t="str">
        <f>VLOOKUP(C17,Customers!A:B,2,FALSE)</f>
        <v>2022:07:15</v>
      </c>
      <c r="J17">
        <f>IFERROR(VLOOKUP($A17,Sheet3!$A:$E,2,FALSE),"")</f>
        <v>3</v>
      </c>
      <c r="K17" t="str">
        <f>IFERROR(VLOOKUP($A17,Sheet3!$A:$E,3,FALSE),"")</f>
        <v>0</v>
      </c>
      <c r="L17" t="str">
        <f>IFERROR(VLOOKUP($A17,Sheet3!$A:$E,4,FALSE),"")</f>
        <v>2023-08-09T17:15:12.000Z</v>
      </c>
      <c r="M17" t="str">
        <f>IFERROR(VLOOKUP($A17,Sheet3!$A:$E,5,FALSE),"")</f>
        <v>2024-04-10T04:19:11.000Z</v>
      </c>
      <c r="N17" s="4">
        <f t="shared" si="1"/>
        <v>390</v>
      </c>
      <c r="O17" t="s">
        <v>2809</v>
      </c>
    </row>
    <row r="18" spans="1:15" x14ac:dyDescent="0.25">
      <c r="A18" t="s">
        <v>350</v>
      </c>
      <c r="B18" t="s">
        <v>303</v>
      </c>
      <c r="C18" t="s">
        <v>9</v>
      </c>
      <c r="D18" t="s">
        <v>351</v>
      </c>
      <c r="E18" t="s">
        <v>352</v>
      </c>
      <c r="F18" t="s">
        <v>316</v>
      </c>
      <c r="G18" s="4" t="str">
        <f t="shared" si="0"/>
        <v/>
      </c>
      <c r="H18" t="s">
        <v>198</v>
      </c>
      <c r="I18" t="str">
        <f>VLOOKUP(C18,Customers!A:B,2,FALSE)</f>
        <v>2022:11:04</v>
      </c>
      <c r="J18">
        <f>IFERROR(VLOOKUP($A18,Sheet3!$A:$E,2,FALSE),"")</f>
        <v>5</v>
      </c>
      <c r="K18" t="str">
        <f>IFERROR(VLOOKUP($A18,Sheet3!$A:$E,3,FALSE),"")</f>
        <v>1</v>
      </c>
      <c r="L18" t="str">
        <f>IFERROR(VLOOKUP($A18,Sheet3!$A:$E,4,FALSE),"")</f>
        <v>2023-06-19T05:37:05.000Z</v>
      </c>
      <c r="M18" t="str">
        <f>IFERROR(VLOOKUP($A18,Sheet3!$A:$E,5,FALSE),"")</f>
        <v>2024-01-25T05:21:56.000Z</v>
      </c>
      <c r="N18" s="4">
        <f t="shared" si="1"/>
        <v>227</v>
      </c>
      <c r="O18" t="s">
        <v>2808</v>
      </c>
    </row>
    <row r="19" spans="1:15" x14ac:dyDescent="0.25">
      <c r="A19" t="s">
        <v>353</v>
      </c>
      <c r="B19" t="s">
        <v>303</v>
      </c>
      <c r="C19" t="s">
        <v>21</v>
      </c>
      <c r="D19" t="s">
        <v>342</v>
      </c>
      <c r="E19" t="s">
        <v>343</v>
      </c>
      <c r="F19" t="s">
        <v>316</v>
      </c>
      <c r="G19" s="4" t="str">
        <f t="shared" si="0"/>
        <v/>
      </c>
      <c r="H19" t="s">
        <v>198</v>
      </c>
      <c r="I19" t="str">
        <f>VLOOKUP(C19,Customers!A:B,2,FALSE)</f>
        <v>2023:02:15</v>
      </c>
      <c r="J19">
        <f>IFERROR(VLOOKUP($A19,Sheet3!$A:$E,2,FALSE),"")</f>
        <v>1</v>
      </c>
      <c r="K19" t="str">
        <f>IFERROR(VLOOKUP($A19,Sheet3!$A:$E,3,FALSE),"")</f>
        <v>0</v>
      </c>
      <c r="L19" t="str">
        <f>IFERROR(VLOOKUP($A19,Sheet3!$A:$E,4,FALSE),"")</f>
        <v>2024-02-22T16:43:03.000Z</v>
      </c>
      <c r="M19" t="str">
        <f>IFERROR(VLOOKUP($A19,Sheet3!$A:$E,5,FALSE),"")</f>
        <v>2024-02-22T16:43:03.000Z</v>
      </c>
      <c r="N19" s="4">
        <f t="shared" si="1"/>
        <v>372</v>
      </c>
      <c r="O19" t="s">
        <v>2809</v>
      </c>
    </row>
    <row r="20" spans="1:15" x14ac:dyDescent="0.25">
      <c r="A20" t="s">
        <v>354</v>
      </c>
      <c r="B20" t="s">
        <v>303</v>
      </c>
      <c r="C20" t="s">
        <v>9</v>
      </c>
      <c r="D20" t="s">
        <v>351</v>
      </c>
      <c r="E20" t="s">
        <v>352</v>
      </c>
      <c r="F20" t="s">
        <v>355</v>
      </c>
      <c r="G20" s="4">
        <f t="shared" si="0"/>
        <v>19.366666666666667</v>
      </c>
      <c r="H20" t="s">
        <v>198</v>
      </c>
      <c r="I20" t="str">
        <f>VLOOKUP(C20,Customers!A:B,2,FALSE)</f>
        <v>2022:11:04</v>
      </c>
      <c r="J20">
        <f>IFERROR(VLOOKUP($A20,Sheet3!$A:$E,2,FALSE),"")</f>
        <v>2</v>
      </c>
      <c r="K20" t="str">
        <f>IFERROR(VLOOKUP($A20,Sheet3!$A:$E,3,FALSE),"")</f>
        <v>0</v>
      </c>
      <c r="L20" t="str">
        <f>IFERROR(VLOOKUP($A20,Sheet3!$A:$E,4,FALSE),"")</f>
        <v>2024-02-26T02:56:44.000Z</v>
      </c>
      <c r="M20" t="str">
        <f>IFERROR(VLOOKUP($A20,Sheet3!$A:$E,5,FALSE),"")</f>
        <v>2024-03-22T09:04:22.000Z</v>
      </c>
      <c r="N20" s="4">
        <f t="shared" si="1"/>
        <v>479</v>
      </c>
      <c r="O20" t="s">
        <v>2808</v>
      </c>
    </row>
    <row r="21" spans="1:15" x14ac:dyDescent="0.25">
      <c r="A21" t="s">
        <v>356</v>
      </c>
      <c r="B21" t="s">
        <v>303</v>
      </c>
      <c r="C21" t="s">
        <v>9</v>
      </c>
      <c r="D21" t="s">
        <v>351</v>
      </c>
      <c r="E21" t="s">
        <v>352</v>
      </c>
      <c r="F21" t="s">
        <v>316</v>
      </c>
      <c r="G21" s="4" t="str">
        <f t="shared" si="0"/>
        <v/>
      </c>
      <c r="H21" t="s">
        <v>198</v>
      </c>
      <c r="I21" t="str">
        <f>VLOOKUP(C21,Customers!A:B,2,FALSE)</f>
        <v>2022:11:04</v>
      </c>
      <c r="J21">
        <f>IFERROR(VLOOKUP($A21,Sheet3!$A:$E,2,FALSE),"")</f>
        <v>1</v>
      </c>
      <c r="K21" t="str">
        <f>IFERROR(VLOOKUP($A21,Sheet3!$A:$E,3,FALSE),"")</f>
        <v>0</v>
      </c>
      <c r="L21" t="str">
        <f>IFERROR(VLOOKUP($A21,Sheet3!$A:$E,4,FALSE),"")</f>
        <v>2024-04-17T17:25:49.000Z</v>
      </c>
      <c r="M21" t="str">
        <f>IFERROR(VLOOKUP($A21,Sheet3!$A:$E,5,FALSE),"")</f>
        <v>2024-04-17T17:25:49.000Z</v>
      </c>
      <c r="N21" s="4">
        <f t="shared" si="1"/>
        <v>530</v>
      </c>
      <c r="O21" t="s">
        <v>2809</v>
      </c>
    </row>
    <row r="22" spans="1:15" x14ac:dyDescent="0.25">
      <c r="A22" t="s">
        <v>357</v>
      </c>
      <c r="B22" t="s">
        <v>303</v>
      </c>
      <c r="C22" t="s">
        <v>23</v>
      </c>
      <c r="D22" t="s">
        <v>304</v>
      </c>
      <c r="E22" t="s">
        <v>305</v>
      </c>
      <c r="F22" t="s">
        <v>358</v>
      </c>
      <c r="G22" s="4">
        <f t="shared" si="0"/>
        <v>47.216666666666669</v>
      </c>
      <c r="H22" t="s">
        <v>198</v>
      </c>
      <c r="I22" t="str">
        <f>VLOOKUP(C22,Customers!A:B,2,FALSE)</f>
        <v>2023:03:18</v>
      </c>
      <c r="J22">
        <f>IFERROR(VLOOKUP($A22,Sheet3!$A:$E,2,FALSE),"")</f>
        <v>3</v>
      </c>
      <c r="K22" t="str">
        <f>IFERROR(VLOOKUP($A22,Sheet3!$A:$E,3,FALSE),"")</f>
        <v>0</v>
      </c>
      <c r="L22" t="str">
        <f>IFERROR(VLOOKUP($A22,Sheet3!$A:$E,4,FALSE),"")</f>
        <v>2023-11-19T05:23:23.000Z</v>
      </c>
      <c r="M22" t="str">
        <f>IFERROR(VLOOKUP($A22,Sheet3!$A:$E,5,FALSE),"")</f>
        <v>2023-12-09T09:23:39.000Z</v>
      </c>
      <c r="N22" s="4">
        <f t="shared" si="1"/>
        <v>246</v>
      </c>
      <c r="O22" t="s">
        <v>2808</v>
      </c>
    </row>
    <row r="23" spans="1:15" x14ac:dyDescent="0.25">
      <c r="A23" t="s">
        <v>359</v>
      </c>
      <c r="B23" t="s">
        <v>303</v>
      </c>
      <c r="C23" t="s">
        <v>13</v>
      </c>
      <c r="D23" t="s">
        <v>324</v>
      </c>
      <c r="E23" t="s">
        <v>325</v>
      </c>
      <c r="F23" t="s">
        <v>360</v>
      </c>
      <c r="G23" s="4">
        <f t="shared" si="0"/>
        <v>57.666666666666664</v>
      </c>
      <c r="H23" t="s">
        <v>198</v>
      </c>
      <c r="I23" t="str">
        <f>VLOOKUP(C23,Customers!A:B,2,FALSE)</f>
        <v>2023:01:05</v>
      </c>
      <c r="J23">
        <f>IFERROR(VLOOKUP($A23,Sheet3!$A:$E,2,FALSE),"")</f>
        <v>3</v>
      </c>
      <c r="K23" t="str">
        <f>IFERROR(VLOOKUP($A23,Sheet3!$A:$E,3,FALSE),"")</f>
        <v>0</v>
      </c>
      <c r="L23" t="str">
        <f>IFERROR(VLOOKUP($A23,Sheet3!$A:$E,4,FALSE),"")</f>
        <v>2024-02-10T05:54:09.000Z</v>
      </c>
      <c r="M23" t="str">
        <f>IFERROR(VLOOKUP($A23,Sheet3!$A:$E,5,FALSE),"")</f>
        <v>2024-11-25T11:37:45.000Z</v>
      </c>
      <c r="N23" s="4">
        <f t="shared" si="1"/>
        <v>401</v>
      </c>
      <c r="O23" t="s">
        <v>2809</v>
      </c>
    </row>
    <row r="24" spans="1:15" x14ac:dyDescent="0.25">
      <c r="A24" t="s">
        <v>361</v>
      </c>
      <c r="B24" t="s">
        <v>303</v>
      </c>
      <c r="C24" t="s">
        <v>9</v>
      </c>
      <c r="D24" t="s">
        <v>351</v>
      </c>
      <c r="E24" t="s">
        <v>352</v>
      </c>
      <c r="F24" t="s">
        <v>362</v>
      </c>
      <c r="G24" s="4">
        <f t="shared" si="0"/>
        <v>28.6</v>
      </c>
      <c r="H24" t="s">
        <v>198</v>
      </c>
      <c r="I24" t="str">
        <f>VLOOKUP(C24,Customers!A:B,2,FALSE)</f>
        <v>2022:11:04</v>
      </c>
      <c r="J24">
        <f>IFERROR(VLOOKUP($A24,Sheet3!$A:$E,2,FALSE),"")</f>
        <v>1</v>
      </c>
      <c r="K24" t="str">
        <f>IFERROR(VLOOKUP($A24,Sheet3!$A:$E,3,FALSE),"")</f>
        <v>0</v>
      </c>
      <c r="L24" t="str">
        <f>IFERROR(VLOOKUP($A24,Sheet3!$A:$E,4,FALSE),"")</f>
        <v>2024-03-01T02:13:01.000Z</v>
      </c>
      <c r="M24" t="str">
        <f>IFERROR(VLOOKUP($A24,Sheet3!$A:$E,5,FALSE),"")</f>
        <v>2024-03-01T02:13:01.000Z</v>
      </c>
      <c r="N24" s="4">
        <f t="shared" si="1"/>
        <v>483</v>
      </c>
      <c r="O24" t="s">
        <v>2808</v>
      </c>
    </row>
    <row r="25" spans="1:15" x14ac:dyDescent="0.25">
      <c r="A25" t="s">
        <v>363</v>
      </c>
      <c r="B25" t="s">
        <v>303</v>
      </c>
      <c r="C25" t="s">
        <v>5</v>
      </c>
      <c r="D25" t="s">
        <v>328</v>
      </c>
      <c r="E25" t="s">
        <v>329</v>
      </c>
      <c r="F25" t="s">
        <v>316</v>
      </c>
      <c r="G25" s="4" t="str">
        <f t="shared" si="0"/>
        <v/>
      </c>
      <c r="H25" t="s">
        <v>198</v>
      </c>
      <c r="I25" t="str">
        <f>VLOOKUP(C25,Customers!A:B,2,FALSE)</f>
        <v>2022:07:15</v>
      </c>
      <c r="J25">
        <f>IFERROR(VLOOKUP($A25,Sheet3!$A:$E,2,FALSE),"")</f>
        <v>4</v>
      </c>
      <c r="K25" t="str">
        <f>IFERROR(VLOOKUP($A25,Sheet3!$A:$E,3,FALSE),"")</f>
        <v>1</v>
      </c>
      <c r="L25" t="str">
        <f>IFERROR(VLOOKUP($A25,Sheet3!$A:$E,4,FALSE),"")</f>
        <v>2023-09-15T04:04:55.000Z</v>
      </c>
      <c r="M25" t="str">
        <f>IFERROR(VLOOKUP($A25,Sheet3!$A:$E,5,FALSE),"")</f>
        <v>2024-03-17T04:26:29.000Z</v>
      </c>
      <c r="N25" s="4">
        <f t="shared" si="1"/>
        <v>427</v>
      </c>
      <c r="O25" t="s">
        <v>2809</v>
      </c>
    </row>
    <row r="26" spans="1:15" x14ac:dyDescent="0.25">
      <c r="A26" t="s">
        <v>364</v>
      </c>
      <c r="B26" t="s">
        <v>303</v>
      </c>
      <c r="C26" t="s">
        <v>7</v>
      </c>
      <c r="D26" t="s">
        <v>365</v>
      </c>
      <c r="E26" t="s">
        <v>366</v>
      </c>
      <c r="F26" t="s">
        <v>316</v>
      </c>
      <c r="G26" s="4" t="str">
        <f t="shared" si="0"/>
        <v/>
      </c>
      <c r="H26" t="s">
        <v>198</v>
      </c>
      <c r="I26" t="str">
        <f>VLOOKUP(C26,Customers!A:B,2,FALSE)</f>
        <v>2022:08:17</v>
      </c>
      <c r="J26">
        <f>IFERROR(VLOOKUP($A26,Sheet3!$A:$E,2,FALSE),"")</f>
        <v>6</v>
      </c>
      <c r="K26" t="str">
        <f>IFERROR(VLOOKUP($A26,Sheet3!$A:$E,3,FALSE),"")</f>
        <v>1</v>
      </c>
      <c r="L26" t="str">
        <f>IFERROR(VLOOKUP($A26,Sheet3!$A:$E,4,FALSE),"")</f>
        <v>2023-08-28T13:06:56.000Z</v>
      </c>
      <c r="M26" t="str">
        <f>IFERROR(VLOOKUP($A26,Sheet3!$A:$E,5,FALSE),"")</f>
        <v>2024-05-01T08:14:25.000Z</v>
      </c>
      <c r="N26" s="4">
        <f t="shared" si="1"/>
        <v>376</v>
      </c>
      <c r="O26" t="s">
        <v>2808</v>
      </c>
    </row>
    <row r="27" spans="1:15" x14ac:dyDescent="0.25">
      <c r="A27" t="s">
        <v>367</v>
      </c>
      <c r="B27" t="s">
        <v>303</v>
      </c>
      <c r="C27" t="s">
        <v>5</v>
      </c>
      <c r="D27" t="s">
        <v>328</v>
      </c>
      <c r="E27" t="s">
        <v>329</v>
      </c>
      <c r="F27" t="s">
        <v>368</v>
      </c>
      <c r="G27" s="4">
        <f t="shared" si="0"/>
        <v>39.200000000000003</v>
      </c>
      <c r="H27" t="s">
        <v>198</v>
      </c>
      <c r="I27" t="str">
        <f>VLOOKUP(C27,Customers!A:B,2,FALSE)</f>
        <v>2022:07:15</v>
      </c>
      <c r="J27">
        <f>IFERROR(VLOOKUP($A27,Sheet3!$A:$E,2,FALSE),"")</f>
        <v>5</v>
      </c>
      <c r="K27" t="str">
        <f>IFERROR(VLOOKUP($A27,Sheet3!$A:$E,3,FALSE),"")</f>
        <v>0</v>
      </c>
      <c r="L27" t="str">
        <f>IFERROR(VLOOKUP($A27,Sheet3!$A:$E,4,FALSE),"")</f>
        <v>2023-07-11T08:08:46.000Z</v>
      </c>
      <c r="M27" t="str">
        <f>IFERROR(VLOOKUP($A27,Sheet3!$A:$E,5,FALSE),"")</f>
        <v>2024-03-30T04:41:28.000Z</v>
      </c>
      <c r="N27" s="4">
        <f t="shared" si="1"/>
        <v>361</v>
      </c>
      <c r="O27" t="s">
        <v>2809</v>
      </c>
    </row>
    <row r="28" spans="1:15" x14ac:dyDescent="0.25">
      <c r="A28" t="s">
        <v>369</v>
      </c>
      <c r="B28" t="s">
        <v>303</v>
      </c>
      <c r="C28" t="s">
        <v>5</v>
      </c>
      <c r="D28" t="s">
        <v>328</v>
      </c>
      <c r="E28" t="s">
        <v>329</v>
      </c>
      <c r="F28" t="s">
        <v>316</v>
      </c>
      <c r="G28" s="4" t="str">
        <f t="shared" si="0"/>
        <v/>
      </c>
      <c r="H28" t="s">
        <v>198</v>
      </c>
      <c r="I28" t="str">
        <f>VLOOKUP(C28,Customers!A:B,2,FALSE)</f>
        <v>2022:07:15</v>
      </c>
      <c r="J28">
        <f>IFERROR(VLOOKUP($A28,Sheet3!$A:$E,2,FALSE),"")</f>
        <v>4</v>
      </c>
      <c r="K28" t="str">
        <f>IFERROR(VLOOKUP($A28,Sheet3!$A:$E,3,FALSE),"")</f>
        <v>0</v>
      </c>
      <c r="L28" t="str">
        <f>IFERROR(VLOOKUP($A28,Sheet3!$A:$E,4,FALSE),"")</f>
        <v>2023-06-19T05:39:17.000Z</v>
      </c>
      <c r="M28" t="str">
        <f>IFERROR(VLOOKUP($A28,Sheet3!$A:$E,5,FALSE),"")</f>
        <v>2024-03-27T13:43:52.000Z</v>
      </c>
      <c r="N28" s="4">
        <f t="shared" si="1"/>
        <v>339</v>
      </c>
      <c r="O28" t="s">
        <v>2808</v>
      </c>
    </row>
    <row r="29" spans="1:15" x14ac:dyDescent="0.25">
      <c r="A29" t="s">
        <v>370</v>
      </c>
      <c r="B29" t="s">
        <v>303</v>
      </c>
      <c r="C29" t="s">
        <v>5</v>
      </c>
      <c r="D29" t="s">
        <v>328</v>
      </c>
      <c r="E29" t="s">
        <v>329</v>
      </c>
      <c r="F29" t="s">
        <v>316</v>
      </c>
      <c r="G29" s="4" t="str">
        <f t="shared" si="0"/>
        <v/>
      </c>
      <c r="H29" t="s">
        <v>198</v>
      </c>
      <c r="I29" t="str">
        <f>VLOOKUP(C29,Customers!A:B,2,FALSE)</f>
        <v>2022:07:15</v>
      </c>
      <c r="J29">
        <f>IFERROR(VLOOKUP($A29,Sheet3!$A:$E,2,FALSE),"")</f>
        <v>3</v>
      </c>
      <c r="K29" t="str">
        <f>IFERROR(VLOOKUP($A29,Sheet3!$A:$E,3,FALSE),"")</f>
        <v>0</v>
      </c>
      <c r="L29" t="str">
        <f>IFERROR(VLOOKUP($A29,Sheet3!$A:$E,4,FALSE),"")</f>
        <v>2024-02-19T10:46:46.000Z</v>
      </c>
      <c r="M29" t="str">
        <f>IFERROR(VLOOKUP($A29,Sheet3!$A:$E,5,FALSE),"")</f>
        <v>2024-07-11T09:21:55.000Z</v>
      </c>
      <c r="N29" s="4">
        <f t="shared" si="1"/>
        <v>584</v>
      </c>
      <c r="O29" t="s">
        <v>2809</v>
      </c>
    </row>
    <row r="30" spans="1:15" x14ac:dyDescent="0.25">
      <c r="A30" t="s">
        <v>371</v>
      </c>
      <c r="B30" t="s">
        <v>318</v>
      </c>
      <c r="C30" t="s">
        <v>31</v>
      </c>
      <c r="D30" t="s">
        <v>372</v>
      </c>
      <c r="E30" t="s">
        <v>373</v>
      </c>
      <c r="F30" t="s">
        <v>316</v>
      </c>
      <c r="G30" s="4" t="str">
        <f t="shared" si="0"/>
        <v/>
      </c>
      <c r="H30" t="s">
        <v>198</v>
      </c>
      <c r="I30" t="str">
        <f>VLOOKUP(C30,Customers!A:B,2,FALSE)</f>
        <v>2023:12:29</v>
      </c>
      <c r="J30">
        <f>IFERROR(VLOOKUP($A30,Sheet3!$A:$E,2,FALSE),"")</f>
        <v>9</v>
      </c>
      <c r="K30" t="str">
        <f>IFERROR(VLOOKUP($A30,Sheet3!$A:$E,3,FALSE),"")</f>
        <v>0</v>
      </c>
      <c r="L30" t="str">
        <f>IFERROR(VLOOKUP($A30,Sheet3!$A:$E,4,FALSE),"")</f>
        <v>2023-12-07T13:51:00.000Z</v>
      </c>
      <c r="M30" t="str">
        <f>IFERROR(VLOOKUP($A30,Sheet3!$A:$E,5,FALSE),"")</f>
        <v>2026-04-21T05:33:28.000Z</v>
      </c>
      <c r="N30" s="4">
        <f t="shared" si="1"/>
        <v>-22</v>
      </c>
      <c r="O30" t="s">
        <v>2808</v>
      </c>
    </row>
    <row r="31" spans="1:15" x14ac:dyDescent="0.25">
      <c r="A31" t="s">
        <v>374</v>
      </c>
      <c r="B31" t="s">
        <v>318</v>
      </c>
      <c r="C31" t="s">
        <v>29</v>
      </c>
      <c r="D31" t="s">
        <v>319</v>
      </c>
      <c r="E31" t="s">
        <v>320</v>
      </c>
      <c r="F31" t="s">
        <v>375</v>
      </c>
      <c r="G31" s="4">
        <f t="shared" si="0"/>
        <v>0.23333333333333334</v>
      </c>
      <c r="H31" t="s">
        <v>376</v>
      </c>
      <c r="I31" t="str">
        <f>VLOOKUP(C31,Customers!A:B,2,FALSE)</f>
        <v>2023:11:30</v>
      </c>
      <c r="J31">
        <f>IFERROR(VLOOKUP($A31,Sheet3!$A:$E,2,FALSE),"")</f>
        <v>24</v>
      </c>
      <c r="K31" t="str">
        <f>IFERROR(VLOOKUP($A31,Sheet3!$A:$E,3,FALSE),"")</f>
        <v>1</v>
      </c>
      <c r="L31" t="str">
        <f>IFERROR(VLOOKUP($A31,Sheet3!$A:$E,4,FALSE),"")</f>
        <v>2023-12-07T13:51:06.000Z</v>
      </c>
      <c r="M31" t="str">
        <f>IFERROR(VLOOKUP($A31,Sheet3!$A:$E,5,FALSE),"")</f>
        <v>2026-01-30T04:01:17.000Z</v>
      </c>
      <c r="N31" s="4">
        <f t="shared" si="1"/>
        <v>7</v>
      </c>
      <c r="O31" t="s">
        <v>2809</v>
      </c>
    </row>
    <row r="32" spans="1:15" x14ac:dyDescent="0.25">
      <c r="A32" t="s">
        <v>377</v>
      </c>
      <c r="B32" t="s">
        <v>318</v>
      </c>
      <c r="C32" t="s">
        <v>29</v>
      </c>
      <c r="D32" t="s">
        <v>319</v>
      </c>
      <c r="E32" t="s">
        <v>320</v>
      </c>
      <c r="F32" t="s">
        <v>378</v>
      </c>
      <c r="G32" s="4">
        <f t="shared" si="0"/>
        <v>1078.4166666666667</v>
      </c>
      <c r="H32" t="s">
        <v>379</v>
      </c>
      <c r="I32" t="str">
        <f>VLOOKUP(C32,Customers!A:B,2,FALSE)</f>
        <v>2023:11:30</v>
      </c>
      <c r="J32">
        <f>IFERROR(VLOOKUP($A32,Sheet3!$A:$E,2,FALSE),"")</f>
        <v>14</v>
      </c>
      <c r="K32" t="str">
        <f>IFERROR(VLOOKUP($A32,Sheet3!$A:$E,3,FALSE),"")</f>
        <v>8</v>
      </c>
      <c r="L32" t="str">
        <f>IFERROR(VLOOKUP($A32,Sheet3!$A:$E,4,FALSE),"")</f>
        <v>2024-02-07T04:48:38.000Z</v>
      </c>
      <c r="M32" t="str">
        <f>IFERROR(VLOOKUP($A32,Sheet3!$A:$E,5,FALSE),"")</f>
        <v>2025-06-19T12:50:24.000Z</v>
      </c>
      <c r="N32" s="4">
        <f t="shared" si="1"/>
        <v>69</v>
      </c>
      <c r="O32" t="s">
        <v>2808</v>
      </c>
    </row>
    <row r="33" spans="1:15" x14ac:dyDescent="0.25">
      <c r="A33" t="s">
        <v>380</v>
      </c>
      <c r="B33" t="s">
        <v>318</v>
      </c>
      <c r="C33" t="s">
        <v>29</v>
      </c>
      <c r="D33" t="s">
        <v>319</v>
      </c>
      <c r="E33" t="s">
        <v>320</v>
      </c>
      <c r="F33" t="s">
        <v>381</v>
      </c>
      <c r="G33" s="4">
        <f t="shared" si="0"/>
        <v>1268.7833333333333</v>
      </c>
      <c r="H33" t="s">
        <v>382</v>
      </c>
      <c r="I33" t="str">
        <f>VLOOKUP(C33,Customers!A:B,2,FALSE)</f>
        <v>2023:11:30</v>
      </c>
      <c r="J33">
        <f>IFERROR(VLOOKUP($A33,Sheet3!$A:$E,2,FALSE),"")</f>
        <v>30</v>
      </c>
      <c r="K33" t="str">
        <f>IFERROR(VLOOKUP($A33,Sheet3!$A:$E,3,FALSE),"")</f>
        <v>11</v>
      </c>
      <c r="L33" t="str">
        <f>IFERROR(VLOOKUP($A33,Sheet3!$A:$E,4,FALSE),"")</f>
        <v>2024-04-22T12:52:47.000Z</v>
      </c>
      <c r="M33" t="str">
        <f>IFERROR(VLOOKUP($A33,Sheet3!$A:$E,5,FALSE),"")</f>
        <v>2025-07-30T11:29:08.000Z</v>
      </c>
      <c r="N33" s="4">
        <f t="shared" si="1"/>
        <v>144</v>
      </c>
      <c r="O33" t="s">
        <v>2809</v>
      </c>
    </row>
    <row r="34" spans="1:15" x14ac:dyDescent="0.25">
      <c r="A34" t="s">
        <v>383</v>
      </c>
      <c r="B34" t="s">
        <v>318</v>
      </c>
      <c r="C34" t="s">
        <v>29</v>
      </c>
      <c r="D34" t="s">
        <v>319</v>
      </c>
      <c r="E34" t="s">
        <v>320</v>
      </c>
      <c r="F34" t="s">
        <v>384</v>
      </c>
      <c r="G34" s="4">
        <f t="shared" si="0"/>
        <v>1137.1833333333334</v>
      </c>
      <c r="H34" t="s">
        <v>385</v>
      </c>
      <c r="I34" t="str">
        <f>VLOOKUP(C34,Customers!A:B,2,FALSE)</f>
        <v>2023:11:30</v>
      </c>
      <c r="J34">
        <f>IFERROR(VLOOKUP($A34,Sheet3!$A:$E,2,FALSE),"")</f>
        <v>29</v>
      </c>
      <c r="K34" t="str">
        <f>IFERROR(VLOOKUP($A34,Sheet3!$A:$E,3,FALSE),"")</f>
        <v>6</v>
      </c>
      <c r="L34" t="str">
        <f>IFERROR(VLOOKUP($A34,Sheet3!$A:$E,4,FALSE),"")</f>
        <v>2024-05-10T07:24:25.000Z</v>
      </c>
      <c r="M34" t="str">
        <f>IFERROR(VLOOKUP($A34,Sheet3!$A:$E,5,FALSE),"")</f>
        <v>2025-09-02T10:49:22.000Z</v>
      </c>
      <c r="N34" s="4">
        <f t="shared" si="1"/>
        <v>162</v>
      </c>
      <c r="O34" t="s">
        <v>2808</v>
      </c>
    </row>
    <row r="35" spans="1:15" x14ac:dyDescent="0.25">
      <c r="A35" t="s">
        <v>386</v>
      </c>
      <c r="B35" t="s">
        <v>318</v>
      </c>
      <c r="C35" t="s">
        <v>29</v>
      </c>
      <c r="D35" t="s">
        <v>319</v>
      </c>
      <c r="E35" t="s">
        <v>320</v>
      </c>
      <c r="F35" t="s">
        <v>387</v>
      </c>
      <c r="G35" s="4">
        <f t="shared" si="0"/>
        <v>1344.8</v>
      </c>
      <c r="H35" t="s">
        <v>388</v>
      </c>
      <c r="I35" t="str">
        <f>VLOOKUP(C35,Customers!A:B,2,FALSE)</f>
        <v>2023:11:30</v>
      </c>
      <c r="J35">
        <f>IFERROR(VLOOKUP($A35,Sheet3!$A:$E,2,FALSE),"")</f>
        <v>43</v>
      </c>
      <c r="K35" t="str">
        <f>IFERROR(VLOOKUP($A35,Sheet3!$A:$E,3,FALSE),"")</f>
        <v>13</v>
      </c>
      <c r="L35" t="str">
        <f>IFERROR(VLOOKUP($A35,Sheet3!$A:$E,4,FALSE),"")</f>
        <v>2024-04-22T08:46:12.000Z</v>
      </c>
      <c r="M35" t="str">
        <f>IFERROR(VLOOKUP($A35,Sheet3!$A:$E,5,FALSE),"")</f>
        <v>2026-05-05T06:24:43.000Z</v>
      </c>
      <c r="N35" s="4">
        <f t="shared" si="1"/>
        <v>144</v>
      </c>
      <c r="O35" t="s">
        <v>2809</v>
      </c>
    </row>
    <row r="36" spans="1:15" x14ac:dyDescent="0.25">
      <c r="A36" t="s">
        <v>389</v>
      </c>
      <c r="B36" t="s">
        <v>318</v>
      </c>
      <c r="C36" t="s">
        <v>29</v>
      </c>
      <c r="D36" t="s">
        <v>319</v>
      </c>
      <c r="E36" t="s">
        <v>320</v>
      </c>
      <c r="F36" t="s">
        <v>390</v>
      </c>
      <c r="G36" s="4">
        <f t="shared" si="0"/>
        <v>1375.0833333333333</v>
      </c>
      <c r="H36" t="s">
        <v>391</v>
      </c>
      <c r="I36" t="str">
        <f>VLOOKUP(C36,Customers!A:B,2,FALSE)</f>
        <v>2023:11:30</v>
      </c>
      <c r="J36">
        <f>IFERROR(VLOOKUP($A36,Sheet3!$A:$E,2,FALSE),"")</f>
        <v>14</v>
      </c>
      <c r="K36" t="str">
        <f>IFERROR(VLOOKUP($A36,Sheet3!$A:$E,3,FALSE),"")</f>
        <v>7</v>
      </c>
      <c r="L36" t="str">
        <f>IFERROR(VLOOKUP($A36,Sheet3!$A:$E,4,FALSE),"")</f>
        <v>2023-12-15T19:42:05.000Z</v>
      </c>
      <c r="M36" t="str">
        <f>IFERROR(VLOOKUP($A36,Sheet3!$A:$E,5,FALSE),"")</f>
        <v>2026-01-12T06:41:46.000Z</v>
      </c>
      <c r="N36" s="4">
        <f t="shared" si="1"/>
        <v>15</v>
      </c>
      <c r="O36" t="s">
        <v>2808</v>
      </c>
    </row>
    <row r="37" spans="1:15" x14ac:dyDescent="0.25">
      <c r="A37" t="s">
        <v>392</v>
      </c>
      <c r="B37" t="s">
        <v>318</v>
      </c>
      <c r="C37" t="s">
        <v>29</v>
      </c>
      <c r="D37" t="s">
        <v>319</v>
      </c>
      <c r="E37" t="s">
        <v>320</v>
      </c>
      <c r="F37" t="s">
        <v>393</v>
      </c>
      <c r="G37" s="4">
        <f t="shared" si="0"/>
        <v>1347.4666666666667</v>
      </c>
      <c r="H37" t="s">
        <v>394</v>
      </c>
      <c r="I37" t="str">
        <f>VLOOKUP(C37,Customers!A:B,2,FALSE)</f>
        <v>2023:11:30</v>
      </c>
      <c r="J37">
        <f>IFERROR(VLOOKUP($A37,Sheet3!$A:$E,2,FALSE),"")</f>
        <v>15</v>
      </c>
      <c r="K37" t="str">
        <f>IFERROR(VLOOKUP($A37,Sheet3!$A:$E,3,FALSE),"")</f>
        <v>3</v>
      </c>
      <c r="L37" t="str">
        <f>IFERROR(VLOOKUP($A37,Sheet3!$A:$E,4,FALSE),"")</f>
        <v>2024-04-11T16:57:38.000Z</v>
      </c>
      <c r="M37" t="str">
        <f>IFERROR(VLOOKUP($A37,Sheet3!$A:$E,5,FALSE),"")</f>
        <v>2025-08-06T06:48:08.000Z</v>
      </c>
      <c r="N37" s="4">
        <f t="shared" si="1"/>
        <v>133</v>
      </c>
      <c r="O37" t="s">
        <v>2809</v>
      </c>
    </row>
    <row r="38" spans="1:15" x14ac:dyDescent="0.25">
      <c r="A38" t="s">
        <v>395</v>
      </c>
      <c r="B38" t="s">
        <v>318</v>
      </c>
      <c r="C38" t="s">
        <v>29</v>
      </c>
      <c r="D38" t="s">
        <v>319</v>
      </c>
      <c r="E38" t="s">
        <v>320</v>
      </c>
      <c r="F38" t="s">
        <v>396</v>
      </c>
      <c r="G38" s="4">
        <f t="shared" si="0"/>
        <v>308.21666666666664</v>
      </c>
      <c r="H38" t="s">
        <v>397</v>
      </c>
      <c r="I38" t="str">
        <f>VLOOKUP(C38,Customers!A:B,2,FALSE)</f>
        <v>2023:11:30</v>
      </c>
      <c r="J38">
        <f>IFERROR(VLOOKUP($A38,Sheet3!$A:$E,2,FALSE),"")</f>
        <v>34</v>
      </c>
      <c r="K38" t="str">
        <f>IFERROR(VLOOKUP($A38,Sheet3!$A:$E,3,FALSE),"")</f>
        <v>10</v>
      </c>
      <c r="L38" t="str">
        <f>IFERROR(VLOOKUP($A38,Sheet3!$A:$E,4,FALSE),"")</f>
        <v>2024-05-03T04:15:58.000Z</v>
      </c>
      <c r="M38" t="str">
        <f>IFERROR(VLOOKUP($A38,Sheet3!$A:$E,5,FALSE),"")</f>
        <v>2025-11-12T09:23:38.000Z</v>
      </c>
      <c r="N38" s="4">
        <f t="shared" si="1"/>
        <v>155</v>
      </c>
      <c r="O38" t="s">
        <v>2808</v>
      </c>
    </row>
    <row r="39" spans="1:15" x14ac:dyDescent="0.25">
      <c r="A39" t="s">
        <v>398</v>
      </c>
      <c r="B39" t="s">
        <v>318</v>
      </c>
      <c r="C39" t="s">
        <v>31</v>
      </c>
      <c r="D39" t="s">
        <v>372</v>
      </c>
      <c r="E39" t="s">
        <v>373</v>
      </c>
      <c r="F39" t="s">
        <v>399</v>
      </c>
      <c r="G39" s="4">
        <f t="shared" si="0"/>
        <v>1308.3</v>
      </c>
      <c r="H39" t="s">
        <v>400</v>
      </c>
      <c r="I39" t="str">
        <f>VLOOKUP(C39,Customers!A:B,2,FALSE)</f>
        <v>2023:12:29</v>
      </c>
      <c r="J39">
        <f>IFERROR(VLOOKUP($A39,Sheet3!$A:$E,2,FALSE),"")</f>
        <v>28</v>
      </c>
      <c r="K39" t="str">
        <f>IFERROR(VLOOKUP($A39,Sheet3!$A:$E,3,FALSE),"")</f>
        <v>6</v>
      </c>
      <c r="L39" t="str">
        <f>IFERROR(VLOOKUP($A39,Sheet3!$A:$E,4,FALSE),"")</f>
        <v>2024-03-07T12:58:20.000Z</v>
      </c>
      <c r="M39" t="str">
        <f>IFERROR(VLOOKUP($A39,Sheet3!$A:$E,5,FALSE),"")</f>
        <v>2026-01-20T16:06:56.000Z</v>
      </c>
      <c r="N39" s="4">
        <f t="shared" si="1"/>
        <v>69</v>
      </c>
      <c r="O39" t="s">
        <v>2809</v>
      </c>
    </row>
    <row r="40" spans="1:15" x14ac:dyDescent="0.25">
      <c r="A40" t="s">
        <v>401</v>
      </c>
      <c r="B40" t="s">
        <v>318</v>
      </c>
      <c r="C40" t="s">
        <v>31</v>
      </c>
      <c r="D40" t="s">
        <v>372</v>
      </c>
      <c r="E40" t="s">
        <v>373</v>
      </c>
      <c r="F40" t="s">
        <v>402</v>
      </c>
      <c r="G40" s="4">
        <f t="shared" si="0"/>
        <v>325.2</v>
      </c>
      <c r="H40" t="s">
        <v>403</v>
      </c>
      <c r="I40" t="str">
        <f>VLOOKUP(C40,Customers!A:B,2,FALSE)</f>
        <v>2023:12:29</v>
      </c>
      <c r="J40">
        <f>IFERROR(VLOOKUP($A40,Sheet3!$A:$E,2,FALSE),"")</f>
        <v>8</v>
      </c>
      <c r="K40" t="str">
        <f>IFERROR(VLOOKUP($A40,Sheet3!$A:$E,3,FALSE),"")</f>
        <v>0</v>
      </c>
      <c r="L40" t="str">
        <f>IFERROR(VLOOKUP($A40,Sheet3!$A:$E,4,FALSE),"")</f>
        <v>2024-05-03T05:33:11.000Z</v>
      </c>
      <c r="M40" t="str">
        <f>IFERROR(VLOOKUP($A40,Sheet3!$A:$E,5,FALSE),"")</f>
        <v>2026-04-21T05:38:30.000Z</v>
      </c>
      <c r="N40" s="4">
        <f t="shared" si="1"/>
        <v>126</v>
      </c>
      <c r="O40" t="s">
        <v>2808</v>
      </c>
    </row>
    <row r="41" spans="1:15" x14ac:dyDescent="0.25">
      <c r="A41" t="s">
        <v>404</v>
      </c>
      <c r="B41" t="s">
        <v>318</v>
      </c>
      <c r="C41" t="s">
        <v>29</v>
      </c>
      <c r="D41" t="s">
        <v>319</v>
      </c>
      <c r="E41" t="s">
        <v>320</v>
      </c>
      <c r="F41" t="s">
        <v>405</v>
      </c>
      <c r="G41" s="4">
        <f t="shared" si="0"/>
        <v>1150.9166666666667</v>
      </c>
      <c r="H41" t="s">
        <v>406</v>
      </c>
      <c r="I41" t="str">
        <f>VLOOKUP(C41,Customers!A:B,2,FALSE)</f>
        <v>2023:11:30</v>
      </c>
      <c r="J41">
        <f>IFERROR(VLOOKUP($A41,Sheet3!$A:$E,2,FALSE),"")</f>
        <v>31</v>
      </c>
      <c r="K41" t="str">
        <f>IFERROR(VLOOKUP($A41,Sheet3!$A:$E,3,FALSE),"")</f>
        <v>13</v>
      </c>
      <c r="L41" t="str">
        <f>IFERROR(VLOOKUP($A41,Sheet3!$A:$E,4,FALSE),"")</f>
        <v>2024-04-14T03:43:42.000Z</v>
      </c>
      <c r="M41" t="str">
        <f>IFERROR(VLOOKUP($A41,Sheet3!$A:$E,5,FALSE),"")</f>
        <v>2025-07-28T08:32:39.000Z</v>
      </c>
      <c r="N41" s="4">
        <f t="shared" si="1"/>
        <v>136</v>
      </c>
      <c r="O41" t="s">
        <v>2809</v>
      </c>
    </row>
    <row r="42" spans="1:15" x14ac:dyDescent="0.25">
      <c r="A42" t="s">
        <v>407</v>
      </c>
      <c r="B42" t="s">
        <v>318</v>
      </c>
      <c r="C42" t="s">
        <v>29</v>
      </c>
      <c r="D42" t="s">
        <v>319</v>
      </c>
      <c r="E42" t="s">
        <v>320</v>
      </c>
      <c r="F42" t="s">
        <v>408</v>
      </c>
      <c r="G42" s="4">
        <f t="shared" si="0"/>
        <v>154.6</v>
      </c>
      <c r="H42" t="s">
        <v>409</v>
      </c>
      <c r="I42" t="str">
        <f>VLOOKUP(C42,Customers!A:B,2,FALSE)</f>
        <v>2023:11:30</v>
      </c>
      <c r="J42">
        <f>IFERROR(VLOOKUP($A42,Sheet3!$A:$E,2,FALSE),"")</f>
        <v>36</v>
      </c>
      <c r="K42" t="str">
        <f>IFERROR(VLOOKUP($A42,Sheet3!$A:$E,3,FALSE),"")</f>
        <v>5</v>
      </c>
      <c r="L42" t="str">
        <f>IFERROR(VLOOKUP($A42,Sheet3!$A:$E,4,FALSE),"")</f>
        <v>2024-04-25T06:19:38.000Z</v>
      </c>
      <c r="M42" t="str">
        <f>IFERROR(VLOOKUP($A42,Sheet3!$A:$E,5,FALSE),"")</f>
        <v>2025-09-07T03:48:16.000Z</v>
      </c>
      <c r="N42" s="4">
        <f t="shared" si="1"/>
        <v>147</v>
      </c>
      <c r="O42" t="s">
        <v>2808</v>
      </c>
    </row>
    <row r="43" spans="1:15" x14ac:dyDescent="0.25">
      <c r="A43" t="s">
        <v>410</v>
      </c>
      <c r="B43" t="s">
        <v>318</v>
      </c>
      <c r="C43" t="s">
        <v>29</v>
      </c>
      <c r="D43" t="s">
        <v>319</v>
      </c>
      <c r="E43" t="s">
        <v>320</v>
      </c>
      <c r="F43" t="s">
        <v>411</v>
      </c>
      <c r="G43" s="4">
        <f t="shared" si="0"/>
        <v>414.31666666666666</v>
      </c>
      <c r="H43" t="s">
        <v>412</v>
      </c>
      <c r="I43" t="str">
        <f>VLOOKUP(C43,Customers!A:B,2,FALSE)</f>
        <v>2023:11:30</v>
      </c>
      <c r="J43">
        <f>IFERROR(VLOOKUP($A43,Sheet3!$A:$E,2,FALSE),"")</f>
        <v>32</v>
      </c>
      <c r="K43" t="str">
        <f>IFERROR(VLOOKUP($A43,Sheet3!$A:$E,3,FALSE),"")</f>
        <v>15</v>
      </c>
      <c r="L43" t="str">
        <f>IFERROR(VLOOKUP($A43,Sheet3!$A:$E,4,FALSE),"")</f>
        <v>2024-05-13T14:42:07.000Z</v>
      </c>
      <c r="M43" t="str">
        <f>IFERROR(VLOOKUP($A43,Sheet3!$A:$E,5,FALSE),"")</f>
        <v>2025-10-28T04:36:28.000Z</v>
      </c>
      <c r="N43" s="4">
        <f t="shared" si="1"/>
        <v>165</v>
      </c>
      <c r="O43" t="s">
        <v>2809</v>
      </c>
    </row>
    <row r="44" spans="1:15" x14ac:dyDescent="0.25">
      <c r="A44" t="s">
        <v>413</v>
      </c>
      <c r="B44" t="s">
        <v>318</v>
      </c>
      <c r="C44" t="s">
        <v>29</v>
      </c>
      <c r="D44" t="s">
        <v>319</v>
      </c>
      <c r="E44" t="s">
        <v>320</v>
      </c>
      <c r="F44" t="s">
        <v>414</v>
      </c>
      <c r="G44" s="4">
        <f t="shared" si="0"/>
        <v>799.9666666666667</v>
      </c>
      <c r="H44" t="s">
        <v>415</v>
      </c>
      <c r="I44" t="str">
        <f>VLOOKUP(C44,Customers!A:B,2,FALSE)</f>
        <v>2023:11:30</v>
      </c>
      <c r="J44">
        <f>IFERROR(VLOOKUP($A44,Sheet3!$A:$E,2,FALSE),"")</f>
        <v>33</v>
      </c>
      <c r="K44" t="str">
        <f>IFERROR(VLOOKUP($A44,Sheet3!$A:$E,3,FALSE),"")</f>
        <v>8</v>
      </c>
      <c r="L44" t="str">
        <f>IFERROR(VLOOKUP($A44,Sheet3!$A:$E,4,FALSE),"")</f>
        <v>2024-05-06T06:29:08.000Z</v>
      </c>
      <c r="M44" t="str">
        <f>IFERROR(VLOOKUP($A44,Sheet3!$A:$E,5,FALSE),"")</f>
        <v>2025-10-06T11:09:47.000Z</v>
      </c>
      <c r="N44" s="4">
        <f t="shared" si="1"/>
        <v>158</v>
      </c>
      <c r="O44" t="s">
        <v>2808</v>
      </c>
    </row>
    <row r="45" spans="1:15" x14ac:dyDescent="0.25">
      <c r="A45" t="s">
        <v>416</v>
      </c>
      <c r="B45" t="s">
        <v>318</v>
      </c>
      <c r="C45" t="s">
        <v>29</v>
      </c>
      <c r="D45" t="s">
        <v>319</v>
      </c>
      <c r="E45" t="s">
        <v>320</v>
      </c>
      <c r="F45" t="s">
        <v>417</v>
      </c>
      <c r="G45" s="4">
        <f t="shared" si="0"/>
        <v>1293.4333333333334</v>
      </c>
      <c r="H45" t="s">
        <v>418</v>
      </c>
      <c r="I45" t="str">
        <f>VLOOKUP(C45,Customers!A:B,2,FALSE)</f>
        <v>2023:11:30</v>
      </c>
      <c r="J45">
        <f>IFERROR(VLOOKUP($A45,Sheet3!$A:$E,2,FALSE),"")</f>
        <v>21</v>
      </c>
      <c r="K45" t="str">
        <f>IFERROR(VLOOKUP($A45,Sheet3!$A:$E,3,FALSE),"")</f>
        <v>6</v>
      </c>
      <c r="L45" t="str">
        <f>IFERROR(VLOOKUP($A45,Sheet3!$A:$E,4,FALSE),"")</f>
        <v>2024-05-03T03:52:02.000Z</v>
      </c>
      <c r="M45" t="str">
        <f>IFERROR(VLOOKUP($A45,Sheet3!$A:$E,5,FALSE),"")</f>
        <v>2025-12-16T04:36:37.000Z</v>
      </c>
      <c r="N45" s="4">
        <f t="shared" si="1"/>
        <v>155</v>
      </c>
      <c r="O45" t="s">
        <v>2809</v>
      </c>
    </row>
    <row r="46" spans="1:15" x14ac:dyDescent="0.25">
      <c r="A46" t="s">
        <v>419</v>
      </c>
      <c r="B46" t="s">
        <v>318</v>
      </c>
      <c r="C46" t="s">
        <v>29</v>
      </c>
      <c r="D46" t="s">
        <v>319</v>
      </c>
      <c r="E46" t="s">
        <v>320</v>
      </c>
      <c r="F46" t="s">
        <v>420</v>
      </c>
      <c r="G46" s="4">
        <f t="shared" si="0"/>
        <v>1022.6166666666667</v>
      </c>
      <c r="H46" t="s">
        <v>421</v>
      </c>
      <c r="I46" t="str">
        <f>VLOOKUP(C46,Customers!A:B,2,FALSE)</f>
        <v>2023:11:30</v>
      </c>
      <c r="J46">
        <f>IFERROR(VLOOKUP($A46,Sheet3!$A:$E,2,FALSE),"")</f>
        <v>40</v>
      </c>
      <c r="K46" t="str">
        <f>IFERROR(VLOOKUP($A46,Sheet3!$A:$E,3,FALSE),"")</f>
        <v>18</v>
      </c>
      <c r="L46" t="str">
        <f>IFERROR(VLOOKUP($A46,Sheet3!$A:$E,4,FALSE),"")</f>
        <v>2024-04-29T13:45:28.000Z</v>
      </c>
      <c r="M46" t="str">
        <f>IFERROR(VLOOKUP($A46,Sheet3!$A:$E,5,FALSE),"")</f>
        <v>2026-04-07T03:23:25.000Z</v>
      </c>
      <c r="N46" s="4">
        <f t="shared" si="1"/>
        <v>151</v>
      </c>
      <c r="O46" t="s">
        <v>2808</v>
      </c>
    </row>
    <row r="47" spans="1:15" x14ac:dyDescent="0.25">
      <c r="A47" t="s">
        <v>422</v>
      </c>
      <c r="B47" t="s">
        <v>318</v>
      </c>
      <c r="C47" t="s">
        <v>29</v>
      </c>
      <c r="D47" t="s">
        <v>319</v>
      </c>
      <c r="E47" t="s">
        <v>320</v>
      </c>
      <c r="F47" t="s">
        <v>423</v>
      </c>
      <c r="G47" s="4">
        <f t="shared" si="0"/>
        <v>112.43333333333334</v>
      </c>
      <c r="H47" t="s">
        <v>424</v>
      </c>
      <c r="I47" t="str">
        <f>VLOOKUP(C47,Customers!A:B,2,FALSE)</f>
        <v>2023:11:30</v>
      </c>
      <c r="J47">
        <f>IFERROR(VLOOKUP($A47,Sheet3!$A:$E,2,FALSE),"")</f>
        <v>23</v>
      </c>
      <c r="K47" t="str">
        <f>IFERROR(VLOOKUP($A47,Sheet3!$A:$E,3,FALSE),"")</f>
        <v>16</v>
      </c>
      <c r="L47" t="str">
        <f>IFERROR(VLOOKUP($A47,Sheet3!$A:$E,4,FALSE),"")</f>
        <v>2024-05-01T05:51:32.000Z</v>
      </c>
      <c r="M47" t="str">
        <f>IFERROR(VLOOKUP($A47,Sheet3!$A:$E,5,FALSE),"")</f>
        <v>2025-12-07T04:37:32.000Z</v>
      </c>
      <c r="N47" s="4">
        <f t="shared" si="1"/>
        <v>153</v>
      </c>
      <c r="O47" t="s">
        <v>2809</v>
      </c>
    </row>
    <row r="48" spans="1:15" x14ac:dyDescent="0.25">
      <c r="A48" t="s">
        <v>425</v>
      </c>
      <c r="B48" t="s">
        <v>318</v>
      </c>
      <c r="C48" t="s">
        <v>29</v>
      </c>
      <c r="D48" t="s">
        <v>319</v>
      </c>
      <c r="E48" t="s">
        <v>320</v>
      </c>
      <c r="F48" t="s">
        <v>426</v>
      </c>
      <c r="G48" s="4">
        <f t="shared" si="0"/>
        <v>1068.6166666666666</v>
      </c>
      <c r="H48" t="s">
        <v>427</v>
      </c>
      <c r="I48" t="str">
        <f>VLOOKUP(C48,Customers!A:B,2,FALSE)</f>
        <v>2023:11:30</v>
      </c>
      <c r="J48">
        <f>IFERROR(VLOOKUP($A48,Sheet3!$A:$E,2,FALSE),"")</f>
        <v>38</v>
      </c>
      <c r="K48" t="str">
        <f>IFERROR(VLOOKUP($A48,Sheet3!$A:$E,3,FALSE),"")</f>
        <v>20</v>
      </c>
      <c r="L48" t="str">
        <f>IFERROR(VLOOKUP($A48,Sheet3!$A:$E,4,FALSE),"")</f>
        <v>2024-04-26T06:01:52.000Z</v>
      </c>
      <c r="M48" t="str">
        <f>IFERROR(VLOOKUP($A48,Sheet3!$A:$E,5,FALSE),"")</f>
        <v>2025-02-11T06:38:16.000Z</v>
      </c>
      <c r="N48" s="4">
        <f t="shared" si="1"/>
        <v>148</v>
      </c>
      <c r="O48" t="s">
        <v>2808</v>
      </c>
    </row>
    <row r="49" spans="1:15" x14ac:dyDescent="0.25">
      <c r="A49" t="s">
        <v>428</v>
      </c>
      <c r="B49" t="s">
        <v>318</v>
      </c>
      <c r="C49" t="s">
        <v>29</v>
      </c>
      <c r="D49" t="s">
        <v>319</v>
      </c>
      <c r="E49" t="s">
        <v>320</v>
      </c>
      <c r="F49" t="s">
        <v>429</v>
      </c>
      <c r="G49" s="4">
        <f t="shared" si="0"/>
        <v>900.65</v>
      </c>
      <c r="H49" t="s">
        <v>430</v>
      </c>
      <c r="I49" t="str">
        <f>VLOOKUP(C49,Customers!A:B,2,FALSE)</f>
        <v>2023:11:30</v>
      </c>
      <c r="J49">
        <f>IFERROR(VLOOKUP($A49,Sheet3!$A:$E,2,FALSE),"")</f>
        <v>20</v>
      </c>
      <c r="K49" t="str">
        <f>IFERROR(VLOOKUP($A49,Sheet3!$A:$E,3,FALSE),"")</f>
        <v>0</v>
      </c>
      <c r="L49" t="str">
        <f>IFERROR(VLOOKUP($A49,Sheet3!$A:$E,4,FALSE),"")</f>
        <v>2024-05-05T09:20:14.000Z</v>
      </c>
      <c r="M49" t="str">
        <f>IFERROR(VLOOKUP($A49,Sheet3!$A:$E,5,FALSE),"")</f>
        <v>2026-01-06T07:09:14.000Z</v>
      </c>
      <c r="N49" s="4">
        <f t="shared" si="1"/>
        <v>157</v>
      </c>
      <c r="O49" t="s">
        <v>2809</v>
      </c>
    </row>
    <row r="50" spans="1:15" x14ac:dyDescent="0.25">
      <c r="A50" t="s">
        <v>431</v>
      </c>
      <c r="B50" t="s">
        <v>318</v>
      </c>
      <c r="C50" t="s">
        <v>23</v>
      </c>
      <c r="D50" t="s">
        <v>304</v>
      </c>
      <c r="E50" t="s">
        <v>305</v>
      </c>
      <c r="F50" t="s">
        <v>432</v>
      </c>
      <c r="G50" s="4">
        <f t="shared" si="0"/>
        <v>333.48333333333335</v>
      </c>
      <c r="H50" t="s">
        <v>433</v>
      </c>
      <c r="I50" t="str">
        <f>VLOOKUP(C50,Customers!A:B,2,FALSE)</f>
        <v>2023:03:18</v>
      </c>
      <c r="J50">
        <f>IFERROR(VLOOKUP($A50,Sheet3!$A:$E,2,FALSE),"")</f>
        <v>23</v>
      </c>
      <c r="K50" t="str">
        <f>IFERROR(VLOOKUP($A50,Sheet3!$A:$E,3,FALSE),"")</f>
        <v>8</v>
      </c>
      <c r="L50" t="str">
        <f>IFERROR(VLOOKUP($A50,Sheet3!$A:$E,4,FALSE),"")</f>
        <v>2024-05-07T06:39:23.000Z</v>
      </c>
      <c r="M50" t="str">
        <f>IFERROR(VLOOKUP($A50,Sheet3!$A:$E,5,FALSE),"")</f>
        <v>2025-03-18T04:56:12.000Z</v>
      </c>
      <c r="N50" s="4">
        <f t="shared" si="1"/>
        <v>416</v>
      </c>
      <c r="O50" t="s">
        <v>2808</v>
      </c>
    </row>
    <row r="51" spans="1:15" x14ac:dyDescent="0.25">
      <c r="A51" t="s">
        <v>434</v>
      </c>
      <c r="B51" t="s">
        <v>318</v>
      </c>
      <c r="C51" t="s">
        <v>37</v>
      </c>
      <c r="D51" t="s">
        <v>435</v>
      </c>
      <c r="E51" t="s">
        <v>436</v>
      </c>
      <c r="F51" t="s">
        <v>437</v>
      </c>
      <c r="G51" s="4">
        <f t="shared" si="0"/>
        <v>1189.3166666666666</v>
      </c>
      <c r="H51" t="s">
        <v>438</v>
      </c>
      <c r="I51" t="str">
        <f>VLOOKUP(C51,Customers!A:B,2,FALSE)</f>
        <v>2024:01:06</v>
      </c>
      <c r="J51">
        <f>IFERROR(VLOOKUP($A51,Sheet3!$A:$E,2,FALSE),"")</f>
        <v>6</v>
      </c>
      <c r="K51" t="str">
        <f>IFERROR(VLOOKUP($A51,Sheet3!$A:$E,3,FALSE),"")</f>
        <v>0</v>
      </c>
      <c r="L51" t="str">
        <f>IFERROR(VLOOKUP($A51,Sheet3!$A:$E,4,FALSE),"")</f>
        <v>2024-04-18T11:29:31.000Z</v>
      </c>
      <c r="M51" t="str">
        <f>IFERROR(VLOOKUP($A51,Sheet3!$A:$E,5,FALSE),"")</f>
        <v>2024-11-26T05:01:44.000Z</v>
      </c>
      <c r="N51" s="4">
        <f t="shared" si="1"/>
        <v>103</v>
      </c>
      <c r="O51" t="s">
        <v>2809</v>
      </c>
    </row>
    <row r="52" spans="1:15" x14ac:dyDescent="0.25">
      <c r="A52" t="s">
        <v>439</v>
      </c>
      <c r="B52" t="s">
        <v>318</v>
      </c>
      <c r="C52" t="s">
        <v>29</v>
      </c>
      <c r="D52" t="s">
        <v>319</v>
      </c>
      <c r="E52" t="s">
        <v>320</v>
      </c>
      <c r="F52" t="s">
        <v>440</v>
      </c>
      <c r="G52" s="4">
        <f t="shared" si="0"/>
        <v>702.1</v>
      </c>
      <c r="H52" t="s">
        <v>441</v>
      </c>
      <c r="I52" t="str">
        <f>VLOOKUP(C52,Customers!A:B,2,FALSE)</f>
        <v>2023:11:30</v>
      </c>
      <c r="J52">
        <f>IFERROR(VLOOKUP($A52,Sheet3!$A:$E,2,FALSE),"")</f>
        <v>22</v>
      </c>
      <c r="K52" t="str">
        <f>IFERROR(VLOOKUP($A52,Sheet3!$A:$E,3,FALSE),"")</f>
        <v>9</v>
      </c>
      <c r="L52" t="str">
        <f>IFERROR(VLOOKUP($A52,Sheet3!$A:$E,4,FALSE),"")</f>
        <v>2024-01-19T08:57:30.000Z</v>
      </c>
      <c r="M52" t="str">
        <f>IFERROR(VLOOKUP($A52,Sheet3!$A:$E,5,FALSE),"")</f>
        <v>2025-10-09T01:38:19.000Z</v>
      </c>
      <c r="N52" s="4">
        <f t="shared" si="1"/>
        <v>50</v>
      </c>
      <c r="O52" t="s">
        <v>2808</v>
      </c>
    </row>
    <row r="53" spans="1:15" x14ac:dyDescent="0.25">
      <c r="A53" t="s">
        <v>442</v>
      </c>
      <c r="B53" t="s">
        <v>318</v>
      </c>
      <c r="C53" t="s">
        <v>35</v>
      </c>
      <c r="D53" t="s">
        <v>443</v>
      </c>
      <c r="E53" t="s">
        <v>444</v>
      </c>
      <c r="F53" t="s">
        <v>316</v>
      </c>
      <c r="G53" s="4" t="str">
        <f t="shared" si="0"/>
        <v/>
      </c>
      <c r="H53" t="s">
        <v>198</v>
      </c>
      <c r="I53" t="str">
        <f>VLOOKUP(C53,Customers!A:B,2,FALSE)</f>
        <v>2024:01:06</v>
      </c>
      <c r="J53">
        <f>IFERROR(VLOOKUP($A53,Sheet3!$A:$E,2,FALSE),"")</f>
        <v>19</v>
      </c>
      <c r="K53" t="str">
        <f>IFERROR(VLOOKUP($A53,Sheet3!$A:$E,3,FALSE),"")</f>
        <v>6</v>
      </c>
      <c r="L53" t="str">
        <f>IFERROR(VLOOKUP($A53,Sheet3!$A:$E,4,FALSE),"")</f>
        <v>2024-02-07T05:26:03.000Z</v>
      </c>
      <c r="M53" t="str">
        <f>IFERROR(VLOOKUP($A53,Sheet3!$A:$E,5,FALSE),"")</f>
        <v>2025-03-13T10:40:23.000Z</v>
      </c>
      <c r="N53" s="4">
        <f t="shared" si="1"/>
        <v>32</v>
      </c>
      <c r="O53" t="s">
        <v>2809</v>
      </c>
    </row>
    <row r="54" spans="1:15" x14ac:dyDescent="0.25">
      <c r="A54" t="s">
        <v>445</v>
      </c>
      <c r="B54" t="s">
        <v>318</v>
      </c>
      <c r="C54" t="s">
        <v>29</v>
      </c>
      <c r="D54" t="s">
        <v>319</v>
      </c>
      <c r="E54" t="s">
        <v>320</v>
      </c>
      <c r="F54" t="s">
        <v>446</v>
      </c>
      <c r="G54" s="4">
        <f t="shared" si="0"/>
        <v>822.18333333333328</v>
      </c>
      <c r="H54" t="s">
        <v>447</v>
      </c>
      <c r="I54" t="str">
        <f>VLOOKUP(C54,Customers!A:B,2,FALSE)</f>
        <v>2023:11:30</v>
      </c>
      <c r="J54">
        <f>IFERROR(VLOOKUP($A54,Sheet3!$A:$E,2,FALSE),"")</f>
        <v>24</v>
      </c>
      <c r="K54" t="str">
        <f>IFERROR(VLOOKUP($A54,Sheet3!$A:$E,3,FALSE),"")</f>
        <v>12</v>
      </c>
      <c r="L54" t="str">
        <f>IFERROR(VLOOKUP($A54,Sheet3!$A:$E,4,FALSE),"")</f>
        <v>2024-01-02T08:59:24.000Z</v>
      </c>
      <c r="M54" t="str">
        <f>IFERROR(VLOOKUP($A54,Sheet3!$A:$E,5,FALSE),"")</f>
        <v>2026-01-22T11:43:31.000Z</v>
      </c>
      <c r="N54" s="4">
        <f t="shared" si="1"/>
        <v>33</v>
      </c>
      <c r="O54" t="s">
        <v>2808</v>
      </c>
    </row>
    <row r="55" spans="1:15" x14ac:dyDescent="0.25">
      <c r="A55" t="s">
        <v>448</v>
      </c>
      <c r="B55" t="s">
        <v>318</v>
      </c>
      <c r="C55" t="s">
        <v>29</v>
      </c>
      <c r="D55" t="s">
        <v>319</v>
      </c>
      <c r="E55" t="s">
        <v>320</v>
      </c>
      <c r="F55" t="s">
        <v>449</v>
      </c>
      <c r="G55" s="4">
        <f t="shared" si="0"/>
        <v>267.68333333333334</v>
      </c>
      <c r="H55" t="s">
        <v>450</v>
      </c>
      <c r="I55" t="str">
        <f>VLOOKUP(C55,Customers!A:B,2,FALSE)</f>
        <v>2023:11:30</v>
      </c>
      <c r="J55">
        <f>IFERROR(VLOOKUP($A55,Sheet3!$A:$E,2,FALSE),"")</f>
        <v>15</v>
      </c>
      <c r="K55" t="str">
        <f>IFERROR(VLOOKUP($A55,Sheet3!$A:$E,3,FALSE),"")</f>
        <v>4</v>
      </c>
      <c r="L55" t="str">
        <f>IFERROR(VLOOKUP($A55,Sheet3!$A:$E,4,FALSE),"")</f>
        <v>2024-01-10T07:27:06.000Z</v>
      </c>
      <c r="M55" t="str">
        <f>IFERROR(VLOOKUP($A55,Sheet3!$A:$E,5,FALSE),"")</f>
        <v>2025-12-21T13:53:49.000Z</v>
      </c>
      <c r="N55" s="4">
        <f t="shared" si="1"/>
        <v>41</v>
      </c>
      <c r="O55" t="s">
        <v>2809</v>
      </c>
    </row>
    <row r="56" spans="1:15" x14ac:dyDescent="0.25">
      <c r="A56" t="s">
        <v>451</v>
      </c>
      <c r="B56" t="s">
        <v>318</v>
      </c>
      <c r="C56" t="s">
        <v>29</v>
      </c>
      <c r="D56" t="s">
        <v>319</v>
      </c>
      <c r="E56" t="s">
        <v>320</v>
      </c>
      <c r="F56" t="s">
        <v>452</v>
      </c>
      <c r="G56" s="4">
        <f t="shared" si="0"/>
        <v>616.01666666666665</v>
      </c>
      <c r="H56" t="s">
        <v>453</v>
      </c>
      <c r="I56" t="str">
        <f>VLOOKUP(C56,Customers!A:B,2,FALSE)</f>
        <v>2023:11:30</v>
      </c>
      <c r="J56">
        <f>IFERROR(VLOOKUP($A56,Sheet3!$A:$E,2,FALSE),"")</f>
        <v>64</v>
      </c>
      <c r="K56" t="str">
        <f>IFERROR(VLOOKUP($A56,Sheet3!$A:$E,3,FALSE),"")</f>
        <v>16</v>
      </c>
      <c r="L56" t="str">
        <f>IFERROR(VLOOKUP($A56,Sheet3!$A:$E,4,FALSE),"")</f>
        <v>2024-01-10T07:27:59.000Z</v>
      </c>
      <c r="M56" t="str">
        <f>IFERROR(VLOOKUP($A56,Sheet3!$A:$E,5,FALSE),"")</f>
        <v>2026-04-12T06:50:56.000Z</v>
      </c>
      <c r="N56" s="4">
        <f t="shared" si="1"/>
        <v>41</v>
      </c>
      <c r="O56" t="s">
        <v>2808</v>
      </c>
    </row>
    <row r="57" spans="1:15" x14ac:dyDescent="0.25">
      <c r="A57" t="s">
        <v>454</v>
      </c>
      <c r="B57" t="s">
        <v>318</v>
      </c>
      <c r="C57" t="s">
        <v>29</v>
      </c>
      <c r="D57" t="s">
        <v>319</v>
      </c>
      <c r="E57" t="s">
        <v>320</v>
      </c>
      <c r="F57" t="s">
        <v>455</v>
      </c>
      <c r="G57" s="4">
        <f t="shared" si="0"/>
        <v>211.63333333333333</v>
      </c>
      <c r="H57" t="s">
        <v>456</v>
      </c>
      <c r="I57" t="str">
        <f>VLOOKUP(C57,Customers!A:B,2,FALSE)</f>
        <v>2023:11:30</v>
      </c>
      <c r="J57">
        <f>IFERROR(VLOOKUP($A57,Sheet3!$A:$E,2,FALSE),"")</f>
        <v>26</v>
      </c>
      <c r="K57" t="str">
        <f>IFERROR(VLOOKUP($A57,Sheet3!$A:$E,3,FALSE),"")</f>
        <v>13</v>
      </c>
      <c r="L57" t="str">
        <f>IFERROR(VLOOKUP($A57,Sheet3!$A:$E,4,FALSE),"")</f>
        <v>2024-05-24T13:16:21.000Z</v>
      </c>
      <c r="M57" t="str">
        <f>IFERROR(VLOOKUP($A57,Sheet3!$A:$E,5,FALSE),"")</f>
        <v>2025-09-20T07:57:35.000Z</v>
      </c>
      <c r="N57" s="4">
        <f t="shared" si="1"/>
        <v>176</v>
      </c>
      <c r="O57" t="s">
        <v>2809</v>
      </c>
    </row>
    <row r="58" spans="1:15" x14ac:dyDescent="0.25">
      <c r="A58" t="s">
        <v>457</v>
      </c>
      <c r="B58" t="s">
        <v>318</v>
      </c>
      <c r="C58" t="s">
        <v>29</v>
      </c>
      <c r="D58" t="s">
        <v>319</v>
      </c>
      <c r="E58" t="s">
        <v>320</v>
      </c>
      <c r="F58" t="s">
        <v>458</v>
      </c>
      <c r="G58" s="4">
        <f t="shared" si="0"/>
        <v>417.26666666666665</v>
      </c>
      <c r="H58" t="s">
        <v>459</v>
      </c>
      <c r="I58" t="str">
        <f>VLOOKUP(C58,Customers!A:B,2,FALSE)</f>
        <v>2023:11:30</v>
      </c>
      <c r="J58">
        <f>IFERROR(VLOOKUP($A58,Sheet3!$A:$E,2,FALSE),"")</f>
        <v>9</v>
      </c>
      <c r="K58" t="str">
        <f>IFERROR(VLOOKUP($A58,Sheet3!$A:$E,3,FALSE),"")</f>
        <v>1</v>
      </c>
      <c r="L58" t="str">
        <f>IFERROR(VLOOKUP($A58,Sheet3!$A:$E,4,FALSE),"")</f>
        <v>2024-06-25T12:01:27.000Z</v>
      </c>
      <c r="M58" t="str">
        <f>IFERROR(VLOOKUP($A58,Sheet3!$A:$E,5,FALSE),"")</f>
        <v>2026-01-05T09:21:56.000Z</v>
      </c>
      <c r="N58" s="4">
        <f t="shared" si="1"/>
        <v>208</v>
      </c>
      <c r="O58" t="s">
        <v>2808</v>
      </c>
    </row>
    <row r="59" spans="1:15" x14ac:dyDescent="0.25">
      <c r="A59" t="s">
        <v>460</v>
      </c>
      <c r="B59" t="s">
        <v>318</v>
      </c>
      <c r="C59" t="s">
        <v>29</v>
      </c>
      <c r="D59" t="s">
        <v>319</v>
      </c>
      <c r="E59" t="s">
        <v>320</v>
      </c>
      <c r="F59" t="s">
        <v>461</v>
      </c>
      <c r="G59" s="4">
        <f t="shared" si="0"/>
        <v>744.5</v>
      </c>
      <c r="H59" t="s">
        <v>462</v>
      </c>
      <c r="I59" t="str">
        <f>VLOOKUP(C59,Customers!A:B,2,FALSE)</f>
        <v>2023:11:30</v>
      </c>
      <c r="J59">
        <f>IFERROR(VLOOKUP($A59,Sheet3!$A:$E,2,FALSE),"")</f>
        <v>20</v>
      </c>
      <c r="K59" t="str">
        <f>IFERROR(VLOOKUP($A59,Sheet3!$A:$E,3,FALSE),"")</f>
        <v>4</v>
      </c>
      <c r="L59" t="str">
        <f>IFERROR(VLOOKUP($A59,Sheet3!$A:$E,4,FALSE),"")</f>
        <v>2024-06-23T04:56:09.000Z</v>
      </c>
      <c r="M59" t="str">
        <f>IFERROR(VLOOKUP($A59,Sheet3!$A:$E,5,FALSE),"")</f>
        <v>2025-12-03T08:41:27.000Z</v>
      </c>
      <c r="N59" s="4">
        <f t="shared" si="1"/>
        <v>206</v>
      </c>
      <c r="O59" t="s">
        <v>2809</v>
      </c>
    </row>
    <row r="60" spans="1:15" x14ac:dyDescent="0.25">
      <c r="A60" t="s">
        <v>463</v>
      </c>
      <c r="B60" t="s">
        <v>318</v>
      </c>
      <c r="C60" t="s">
        <v>29</v>
      </c>
      <c r="D60" t="s">
        <v>319</v>
      </c>
      <c r="E60" t="s">
        <v>320</v>
      </c>
      <c r="F60" t="s">
        <v>464</v>
      </c>
      <c r="G60" s="4">
        <f t="shared" si="0"/>
        <v>1418.9</v>
      </c>
      <c r="H60" t="s">
        <v>465</v>
      </c>
      <c r="I60" t="str">
        <f>VLOOKUP(C60,Customers!A:B,2,FALSE)</f>
        <v>2023:11:30</v>
      </c>
      <c r="J60">
        <f>IFERROR(VLOOKUP($A60,Sheet3!$A:$E,2,FALSE),"")</f>
        <v>41</v>
      </c>
      <c r="K60" t="str">
        <f>IFERROR(VLOOKUP($A60,Sheet3!$A:$E,3,FALSE),"")</f>
        <v>12</v>
      </c>
      <c r="L60" t="str">
        <f>IFERROR(VLOOKUP($A60,Sheet3!$A:$E,4,FALSE),"")</f>
        <v>2024-05-13T14:29:12.000Z</v>
      </c>
      <c r="M60" t="str">
        <f>IFERROR(VLOOKUP($A60,Sheet3!$A:$E,5,FALSE),"")</f>
        <v>2026-03-13T07:41:09.000Z</v>
      </c>
      <c r="N60" s="4">
        <f t="shared" si="1"/>
        <v>165</v>
      </c>
      <c r="O60" t="s">
        <v>2808</v>
      </c>
    </row>
    <row r="61" spans="1:15" x14ac:dyDescent="0.25">
      <c r="A61" t="s">
        <v>466</v>
      </c>
      <c r="B61" t="s">
        <v>318</v>
      </c>
      <c r="C61" t="s">
        <v>29</v>
      </c>
      <c r="D61" t="s">
        <v>319</v>
      </c>
      <c r="E61" t="s">
        <v>320</v>
      </c>
      <c r="F61" t="s">
        <v>467</v>
      </c>
      <c r="G61" s="4">
        <f t="shared" si="0"/>
        <v>814.56666666666672</v>
      </c>
      <c r="H61" t="s">
        <v>468</v>
      </c>
      <c r="I61" t="str">
        <f>VLOOKUP(C61,Customers!A:B,2,FALSE)</f>
        <v>2023:11:30</v>
      </c>
      <c r="J61">
        <f>IFERROR(VLOOKUP($A61,Sheet3!$A:$E,2,FALSE),"")</f>
        <v>51</v>
      </c>
      <c r="K61" t="str">
        <f>IFERROR(VLOOKUP($A61,Sheet3!$A:$E,3,FALSE),"")</f>
        <v>7</v>
      </c>
      <c r="L61" t="str">
        <f>IFERROR(VLOOKUP($A61,Sheet3!$A:$E,4,FALSE),"")</f>
        <v>2024-05-12T09:44:02.000Z</v>
      </c>
      <c r="M61" t="str">
        <f>IFERROR(VLOOKUP($A61,Sheet3!$A:$E,5,FALSE),"")</f>
        <v>2026-02-05T04:37:44.000Z</v>
      </c>
      <c r="N61" s="4">
        <f t="shared" si="1"/>
        <v>164</v>
      </c>
      <c r="O61" t="s">
        <v>2809</v>
      </c>
    </row>
    <row r="62" spans="1:15" x14ac:dyDescent="0.25">
      <c r="A62" t="s">
        <v>469</v>
      </c>
      <c r="B62" t="s">
        <v>318</v>
      </c>
      <c r="C62" t="s">
        <v>29</v>
      </c>
      <c r="D62" t="s">
        <v>319</v>
      </c>
      <c r="E62" t="s">
        <v>320</v>
      </c>
      <c r="F62" t="s">
        <v>470</v>
      </c>
      <c r="G62" s="4">
        <f t="shared" si="0"/>
        <v>1152.6833333333334</v>
      </c>
      <c r="H62" t="s">
        <v>471</v>
      </c>
      <c r="I62" t="str">
        <f>VLOOKUP(C62,Customers!A:B,2,FALSE)</f>
        <v>2023:11:30</v>
      </c>
      <c r="J62">
        <f>IFERROR(VLOOKUP($A62,Sheet3!$A:$E,2,FALSE),"")</f>
        <v>77</v>
      </c>
      <c r="K62" t="str">
        <f>IFERROR(VLOOKUP($A62,Sheet3!$A:$E,3,FALSE),"")</f>
        <v>9</v>
      </c>
      <c r="L62" t="str">
        <f>IFERROR(VLOOKUP($A62,Sheet3!$A:$E,4,FALSE),"")</f>
        <v>2024-04-11T10:34:06.000Z</v>
      </c>
      <c r="M62" t="str">
        <f>IFERROR(VLOOKUP($A62,Sheet3!$A:$E,5,FALSE),"")</f>
        <v>2025-04-07T04:51:20.000Z</v>
      </c>
      <c r="N62" s="4">
        <f t="shared" si="1"/>
        <v>133</v>
      </c>
      <c r="O62" t="s">
        <v>2808</v>
      </c>
    </row>
    <row r="63" spans="1:15" x14ac:dyDescent="0.25">
      <c r="A63" t="s">
        <v>472</v>
      </c>
      <c r="B63" t="s">
        <v>318</v>
      </c>
      <c r="C63" t="s">
        <v>29</v>
      </c>
      <c r="D63" t="s">
        <v>319</v>
      </c>
      <c r="E63" t="s">
        <v>320</v>
      </c>
      <c r="F63" t="s">
        <v>473</v>
      </c>
      <c r="G63" s="4">
        <f t="shared" si="0"/>
        <v>282.83333333333331</v>
      </c>
      <c r="H63" t="s">
        <v>474</v>
      </c>
      <c r="I63" t="str">
        <f>VLOOKUP(C63,Customers!A:B,2,FALSE)</f>
        <v>2023:11:30</v>
      </c>
      <c r="J63">
        <f>IFERROR(VLOOKUP($A63,Sheet3!$A:$E,2,FALSE),"")</f>
        <v>29</v>
      </c>
      <c r="K63" t="str">
        <f>IFERROR(VLOOKUP($A63,Sheet3!$A:$E,3,FALSE),"")</f>
        <v>6</v>
      </c>
      <c r="L63" t="str">
        <f>IFERROR(VLOOKUP($A63,Sheet3!$A:$E,4,FALSE),"")</f>
        <v>2024-03-30T04:44:27.000Z</v>
      </c>
      <c r="M63" t="str">
        <f>IFERROR(VLOOKUP($A63,Sheet3!$A:$E,5,FALSE),"")</f>
        <v>2025-11-07T07:56:48.000Z</v>
      </c>
      <c r="N63" s="4">
        <f t="shared" si="1"/>
        <v>121</v>
      </c>
      <c r="O63" t="s">
        <v>2809</v>
      </c>
    </row>
    <row r="64" spans="1:15" x14ac:dyDescent="0.25">
      <c r="A64" t="s">
        <v>475</v>
      </c>
      <c r="B64" t="s">
        <v>318</v>
      </c>
      <c r="C64" t="s">
        <v>29</v>
      </c>
      <c r="D64" t="s">
        <v>319</v>
      </c>
      <c r="E64" t="s">
        <v>320</v>
      </c>
      <c r="F64" t="s">
        <v>476</v>
      </c>
      <c r="G64" s="4">
        <f t="shared" si="0"/>
        <v>405.16666666666669</v>
      </c>
      <c r="H64" t="s">
        <v>477</v>
      </c>
      <c r="I64" t="str">
        <f>VLOOKUP(C64,Customers!A:B,2,FALSE)</f>
        <v>2023:11:30</v>
      </c>
      <c r="J64">
        <f>IFERROR(VLOOKUP($A64,Sheet3!$A:$E,2,FALSE),"")</f>
        <v>27</v>
      </c>
      <c r="K64" t="str">
        <f>IFERROR(VLOOKUP($A64,Sheet3!$A:$E,3,FALSE),"")</f>
        <v>15</v>
      </c>
      <c r="L64" t="str">
        <f>IFERROR(VLOOKUP($A64,Sheet3!$A:$E,4,FALSE),"")</f>
        <v>2024-06-27T08:25:00.000Z</v>
      </c>
      <c r="M64" t="str">
        <f>IFERROR(VLOOKUP($A64,Sheet3!$A:$E,5,FALSE),"")</f>
        <v>2026-05-03T01:22:09.000Z</v>
      </c>
      <c r="N64" s="4">
        <f t="shared" si="1"/>
        <v>210</v>
      </c>
      <c r="O64" t="s">
        <v>2808</v>
      </c>
    </row>
    <row r="65" spans="1:15" x14ac:dyDescent="0.25">
      <c r="A65" t="s">
        <v>478</v>
      </c>
      <c r="B65" t="s">
        <v>318</v>
      </c>
      <c r="C65" t="s">
        <v>48</v>
      </c>
      <c r="D65" t="s">
        <v>479</v>
      </c>
      <c r="E65" t="s">
        <v>480</v>
      </c>
      <c r="F65" t="s">
        <v>481</v>
      </c>
      <c r="G65" s="4">
        <f t="shared" si="0"/>
        <v>247.16666666666666</v>
      </c>
      <c r="H65" t="s">
        <v>482</v>
      </c>
      <c r="I65" t="str">
        <f>VLOOKUP(C65,Customers!A:B,2,FALSE)</f>
        <v>2024:07:12</v>
      </c>
      <c r="J65">
        <f>IFERROR(VLOOKUP($A65,Sheet3!$A:$E,2,FALSE),"")</f>
        <v>7</v>
      </c>
      <c r="K65" t="str">
        <f>IFERROR(VLOOKUP($A65,Sheet3!$A:$E,3,FALSE),"")</f>
        <v>0</v>
      </c>
      <c r="L65" t="str">
        <f>IFERROR(VLOOKUP($A65,Sheet3!$A:$E,4,FALSE),"")</f>
        <v>2024-04-18T11:37:00.000Z</v>
      </c>
      <c r="M65" t="str">
        <f>IFERROR(VLOOKUP($A65,Sheet3!$A:$E,5,FALSE),"")</f>
        <v>2025-07-08T10:25:18.000Z</v>
      </c>
      <c r="N65" s="4">
        <f t="shared" si="1"/>
        <v>-85</v>
      </c>
      <c r="O65" t="s">
        <v>2809</v>
      </c>
    </row>
    <row r="66" spans="1:15" x14ac:dyDescent="0.25">
      <c r="A66" t="s">
        <v>483</v>
      </c>
      <c r="B66" t="s">
        <v>318</v>
      </c>
      <c r="C66" t="s">
        <v>29</v>
      </c>
      <c r="D66" t="s">
        <v>319</v>
      </c>
      <c r="E66" t="s">
        <v>320</v>
      </c>
      <c r="F66" t="s">
        <v>484</v>
      </c>
      <c r="G66" s="4">
        <f t="shared" ref="G66:G129" si="2">IF(OR(F66="NULL",F66=""),"",(HOUR(F66)*60)+MINUTE(F66)+(SECOND(F66)/60))</f>
        <v>414.31666666666666</v>
      </c>
      <c r="H66" t="s">
        <v>485</v>
      </c>
      <c r="I66" t="str">
        <f>VLOOKUP(C66,Customers!A:B,2,FALSE)</f>
        <v>2023:11:30</v>
      </c>
      <c r="J66">
        <f>IFERROR(VLOOKUP($A66,Sheet3!$A:$E,2,FALSE),"")</f>
        <v>8</v>
      </c>
      <c r="K66" t="str">
        <f>IFERROR(VLOOKUP($A66,Sheet3!$A:$E,3,FALSE),"")</f>
        <v>4</v>
      </c>
      <c r="L66" t="str">
        <f>IFERROR(VLOOKUP($A66,Sheet3!$A:$E,4,FALSE),"")</f>
        <v>2024-05-24T13:44:17.000Z</v>
      </c>
      <c r="M66" t="str">
        <f>IFERROR(VLOOKUP($A66,Sheet3!$A:$E,5,FALSE),"")</f>
        <v>2026-01-24T13:35:30.000Z</v>
      </c>
      <c r="N66" s="4">
        <f t="shared" si="1"/>
        <v>176</v>
      </c>
      <c r="O66" t="s">
        <v>2808</v>
      </c>
    </row>
    <row r="67" spans="1:15" x14ac:dyDescent="0.25">
      <c r="A67" t="s">
        <v>486</v>
      </c>
      <c r="B67" t="s">
        <v>318</v>
      </c>
      <c r="C67" t="s">
        <v>48</v>
      </c>
      <c r="D67" t="s">
        <v>479</v>
      </c>
      <c r="E67" t="s">
        <v>480</v>
      </c>
      <c r="F67" t="s">
        <v>487</v>
      </c>
      <c r="G67" s="4">
        <f t="shared" si="2"/>
        <v>179.61666666666667</v>
      </c>
      <c r="H67" t="s">
        <v>488</v>
      </c>
      <c r="I67" t="str">
        <f>VLOOKUP(C67,Customers!A:B,2,FALSE)</f>
        <v>2024:07:12</v>
      </c>
      <c r="J67">
        <f>IFERROR(VLOOKUP($A67,Sheet3!$A:$E,2,FALSE),"")</f>
        <v>11</v>
      </c>
      <c r="K67" t="str">
        <f>IFERROR(VLOOKUP($A67,Sheet3!$A:$E,3,FALSE),"")</f>
        <v>0</v>
      </c>
      <c r="L67" t="str">
        <f>IFERROR(VLOOKUP($A67,Sheet3!$A:$E,4,FALSE),"")</f>
        <v>2024-04-18T11:36:24.000Z</v>
      </c>
      <c r="M67" t="str">
        <f>IFERROR(VLOOKUP($A67,Sheet3!$A:$E,5,FALSE),"")</f>
        <v>2024-08-23T07:15:28.000Z</v>
      </c>
      <c r="N67" s="4">
        <f t="shared" ref="N67:N130" si="3">IFERROR(LEFT(L67,10)-(LEFT(I67,4)&amp;"-"&amp;MID(I67,6,2)&amp;"-"&amp;RIGHT(I67,2)),"")</f>
        <v>-85</v>
      </c>
      <c r="O67" t="s">
        <v>2809</v>
      </c>
    </row>
    <row r="68" spans="1:15" x14ac:dyDescent="0.25">
      <c r="A68" t="s">
        <v>489</v>
      </c>
      <c r="B68" t="s">
        <v>318</v>
      </c>
      <c r="C68" t="s">
        <v>29</v>
      </c>
      <c r="D68" t="s">
        <v>319</v>
      </c>
      <c r="E68" t="s">
        <v>320</v>
      </c>
      <c r="F68" t="s">
        <v>490</v>
      </c>
      <c r="G68" s="4">
        <f t="shared" si="2"/>
        <v>274.18333333333334</v>
      </c>
      <c r="H68" t="s">
        <v>491</v>
      </c>
      <c r="I68" t="str">
        <f>VLOOKUP(C68,Customers!A:B,2,FALSE)</f>
        <v>2023:11:30</v>
      </c>
      <c r="J68">
        <f>IFERROR(VLOOKUP($A68,Sheet3!$A:$E,2,FALSE),"")</f>
        <v>8</v>
      </c>
      <c r="K68" t="str">
        <f>IFERROR(VLOOKUP($A68,Sheet3!$A:$E,3,FALSE),"")</f>
        <v>0</v>
      </c>
      <c r="L68" t="str">
        <f>IFERROR(VLOOKUP($A68,Sheet3!$A:$E,4,FALSE),"")</f>
        <v>2024-05-23T12:50:58.000Z</v>
      </c>
      <c r="M68" t="str">
        <f>IFERROR(VLOOKUP($A68,Sheet3!$A:$E,5,FALSE),"")</f>
        <v>2025-08-29T11:52:19.000Z</v>
      </c>
      <c r="N68" s="4">
        <f t="shared" si="3"/>
        <v>175</v>
      </c>
      <c r="O68" t="s">
        <v>2808</v>
      </c>
    </row>
    <row r="69" spans="1:15" x14ac:dyDescent="0.25">
      <c r="A69" t="s">
        <v>492</v>
      </c>
      <c r="B69" t="s">
        <v>318</v>
      </c>
      <c r="C69" t="s">
        <v>29</v>
      </c>
      <c r="D69" t="s">
        <v>319</v>
      </c>
      <c r="E69" t="s">
        <v>320</v>
      </c>
      <c r="F69" t="s">
        <v>493</v>
      </c>
      <c r="G69" s="4">
        <f t="shared" si="2"/>
        <v>76.466666666666669</v>
      </c>
      <c r="H69" t="s">
        <v>494</v>
      </c>
      <c r="I69" t="str">
        <f>VLOOKUP(C69,Customers!A:B,2,FALSE)</f>
        <v>2023:11:30</v>
      </c>
      <c r="J69">
        <f>IFERROR(VLOOKUP($A69,Sheet3!$A:$E,2,FALSE),"")</f>
        <v>5</v>
      </c>
      <c r="K69" t="str">
        <f>IFERROR(VLOOKUP($A69,Sheet3!$A:$E,3,FALSE),"")</f>
        <v>0</v>
      </c>
      <c r="L69" t="str">
        <f>IFERROR(VLOOKUP($A69,Sheet3!$A:$E,4,FALSE),"")</f>
        <v>2024-06-12T10:35:28.000Z</v>
      </c>
      <c r="M69" t="str">
        <f>IFERROR(VLOOKUP($A69,Sheet3!$A:$E,5,FALSE),"")</f>
        <v>2025-12-22T10:23:02.000Z</v>
      </c>
      <c r="N69" s="4">
        <f t="shared" si="3"/>
        <v>195</v>
      </c>
      <c r="O69" t="s">
        <v>2809</v>
      </c>
    </row>
    <row r="70" spans="1:15" x14ac:dyDescent="0.25">
      <c r="A70" t="s">
        <v>495</v>
      </c>
      <c r="B70" t="s">
        <v>318</v>
      </c>
      <c r="C70" t="s">
        <v>48</v>
      </c>
      <c r="D70" t="s">
        <v>479</v>
      </c>
      <c r="E70" t="s">
        <v>480</v>
      </c>
      <c r="F70" t="s">
        <v>496</v>
      </c>
      <c r="G70" s="4">
        <f t="shared" si="2"/>
        <v>3.3666666666666667</v>
      </c>
      <c r="H70" t="s">
        <v>198</v>
      </c>
      <c r="I70" t="str">
        <f>VLOOKUP(C70,Customers!A:B,2,FALSE)</f>
        <v>2024:07:12</v>
      </c>
      <c r="J70">
        <f>IFERROR(VLOOKUP($A70,Sheet3!$A:$E,2,FALSE),"")</f>
        <v>7</v>
      </c>
      <c r="K70" t="str">
        <f>IFERROR(VLOOKUP($A70,Sheet3!$A:$E,3,FALSE),"")</f>
        <v>0</v>
      </c>
      <c r="L70" t="str">
        <f>IFERROR(VLOOKUP($A70,Sheet3!$A:$E,4,FALSE),"")</f>
        <v>2024-04-18T11:34:54.000Z</v>
      </c>
      <c r="M70" t="str">
        <f>IFERROR(VLOOKUP($A70,Sheet3!$A:$E,5,FALSE),"")</f>
        <v>2026-02-09T07:49:17.000Z</v>
      </c>
      <c r="N70" s="4">
        <f t="shared" si="3"/>
        <v>-85</v>
      </c>
      <c r="O70" t="s">
        <v>2808</v>
      </c>
    </row>
    <row r="71" spans="1:15" x14ac:dyDescent="0.25">
      <c r="A71" t="s">
        <v>497</v>
      </c>
      <c r="B71" t="s">
        <v>318</v>
      </c>
      <c r="C71" t="s">
        <v>48</v>
      </c>
      <c r="D71" t="s">
        <v>479</v>
      </c>
      <c r="E71" t="s">
        <v>480</v>
      </c>
      <c r="F71" t="s">
        <v>498</v>
      </c>
      <c r="G71" s="4">
        <f t="shared" si="2"/>
        <v>80.316666666666663</v>
      </c>
      <c r="H71" t="s">
        <v>499</v>
      </c>
      <c r="I71" t="str">
        <f>VLOOKUP(C71,Customers!A:B,2,FALSE)</f>
        <v>2024:07:12</v>
      </c>
      <c r="J71">
        <f>IFERROR(VLOOKUP($A71,Sheet3!$A:$E,2,FALSE),"")</f>
        <v>4</v>
      </c>
      <c r="K71" t="str">
        <f>IFERROR(VLOOKUP($A71,Sheet3!$A:$E,3,FALSE),"")</f>
        <v>0</v>
      </c>
      <c r="L71" t="str">
        <f>IFERROR(VLOOKUP($A71,Sheet3!$A:$E,4,FALSE),"")</f>
        <v>2024-04-18T11:34:20.000Z</v>
      </c>
      <c r="M71" t="str">
        <f>IFERROR(VLOOKUP($A71,Sheet3!$A:$E,5,FALSE),"")</f>
        <v>2025-04-15T09:08:27.000Z</v>
      </c>
      <c r="N71" s="4">
        <f t="shared" si="3"/>
        <v>-85</v>
      </c>
      <c r="O71" t="s">
        <v>2809</v>
      </c>
    </row>
    <row r="72" spans="1:15" x14ac:dyDescent="0.25">
      <c r="A72" t="s">
        <v>500</v>
      </c>
      <c r="B72" t="s">
        <v>318</v>
      </c>
      <c r="C72" t="s">
        <v>48</v>
      </c>
      <c r="D72" t="s">
        <v>479</v>
      </c>
      <c r="E72" t="s">
        <v>480</v>
      </c>
      <c r="F72" t="s">
        <v>501</v>
      </c>
      <c r="G72" s="4">
        <f t="shared" si="2"/>
        <v>517.36666666666667</v>
      </c>
      <c r="H72" t="s">
        <v>502</v>
      </c>
      <c r="I72" t="str">
        <f>VLOOKUP(C72,Customers!A:B,2,FALSE)</f>
        <v>2024:07:12</v>
      </c>
      <c r="J72">
        <f>IFERROR(VLOOKUP($A72,Sheet3!$A:$E,2,FALSE),"")</f>
        <v>11</v>
      </c>
      <c r="K72" t="str">
        <f>IFERROR(VLOOKUP($A72,Sheet3!$A:$E,3,FALSE),"")</f>
        <v>4</v>
      </c>
      <c r="L72" t="str">
        <f>IFERROR(VLOOKUP($A72,Sheet3!$A:$E,4,FALSE),"")</f>
        <v>2024-04-18T11:33:42.000Z</v>
      </c>
      <c r="M72" t="str">
        <f>IFERROR(VLOOKUP($A72,Sheet3!$A:$E,5,FALSE),"")</f>
        <v>2025-11-12T11:07:20.000Z</v>
      </c>
      <c r="N72" s="4">
        <f t="shared" si="3"/>
        <v>-85</v>
      </c>
      <c r="O72" t="s">
        <v>2808</v>
      </c>
    </row>
    <row r="73" spans="1:15" x14ac:dyDescent="0.25">
      <c r="A73" t="s">
        <v>503</v>
      </c>
      <c r="B73" t="s">
        <v>318</v>
      </c>
      <c r="C73" t="s">
        <v>59</v>
      </c>
      <c r="D73" t="s">
        <v>504</v>
      </c>
      <c r="E73" t="s">
        <v>505</v>
      </c>
      <c r="F73" t="s">
        <v>506</v>
      </c>
      <c r="G73" s="4">
        <f t="shared" si="2"/>
        <v>849.56666666666672</v>
      </c>
      <c r="H73" t="s">
        <v>507</v>
      </c>
      <c r="I73" t="str">
        <f>VLOOKUP(C73,Customers!A:B,2,FALSE)</f>
        <v>2024:07:25</v>
      </c>
      <c r="J73">
        <f>IFERROR(VLOOKUP($A73,Sheet3!$A:$E,2,FALSE),"")</f>
        <v>8</v>
      </c>
      <c r="K73" t="str">
        <f>IFERROR(VLOOKUP($A73,Sheet3!$A:$E,3,FALSE),"")</f>
        <v>1</v>
      </c>
      <c r="L73" t="str">
        <f>IFERROR(VLOOKUP($A73,Sheet3!$A:$E,4,FALSE),"")</f>
        <v>2024-04-18T11:32:43.000Z</v>
      </c>
      <c r="M73" t="str">
        <f>IFERROR(VLOOKUP($A73,Sheet3!$A:$E,5,FALSE),"")</f>
        <v>2024-12-17T05:57:17.000Z</v>
      </c>
      <c r="N73" s="4">
        <f t="shared" si="3"/>
        <v>-98</v>
      </c>
      <c r="O73" t="s">
        <v>2809</v>
      </c>
    </row>
    <row r="74" spans="1:15" x14ac:dyDescent="0.25">
      <c r="A74" t="s">
        <v>508</v>
      </c>
      <c r="B74" t="s">
        <v>318</v>
      </c>
      <c r="C74" t="s">
        <v>59</v>
      </c>
      <c r="D74" t="s">
        <v>504</v>
      </c>
      <c r="E74" t="s">
        <v>505</v>
      </c>
      <c r="F74" t="s">
        <v>509</v>
      </c>
      <c r="G74" s="4">
        <f t="shared" si="2"/>
        <v>242.5</v>
      </c>
      <c r="H74" t="s">
        <v>510</v>
      </c>
      <c r="I74" t="str">
        <f>VLOOKUP(C74,Customers!A:B,2,FALSE)</f>
        <v>2024:07:25</v>
      </c>
      <c r="J74">
        <f>IFERROR(VLOOKUP($A74,Sheet3!$A:$E,2,FALSE),"")</f>
        <v>10</v>
      </c>
      <c r="K74" t="str">
        <f>IFERROR(VLOOKUP($A74,Sheet3!$A:$E,3,FALSE),"")</f>
        <v>4</v>
      </c>
      <c r="L74" t="str">
        <f>IFERROR(VLOOKUP($A74,Sheet3!$A:$E,4,FALSE),"")</f>
        <v>2024-04-18T11:32:06.000Z</v>
      </c>
      <c r="M74" t="str">
        <f>IFERROR(VLOOKUP($A74,Sheet3!$A:$E,5,FALSE),"")</f>
        <v>2024-10-09T01:57:41.000Z</v>
      </c>
      <c r="N74" s="4">
        <f t="shared" si="3"/>
        <v>-98</v>
      </c>
      <c r="O74" t="s">
        <v>2808</v>
      </c>
    </row>
    <row r="75" spans="1:15" x14ac:dyDescent="0.25">
      <c r="A75" t="s">
        <v>511</v>
      </c>
      <c r="B75" t="s">
        <v>318</v>
      </c>
      <c r="C75" t="s">
        <v>29</v>
      </c>
      <c r="D75" t="s">
        <v>319</v>
      </c>
      <c r="E75" t="s">
        <v>320</v>
      </c>
      <c r="F75" t="s">
        <v>512</v>
      </c>
      <c r="G75" s="4">
        <f t="shared" si="2"/>
        <v>434.16666666666669</v>
      </c>
      <c r="H75" t="s">
        <v>513</v>
      </c>
      <c r="I75" t="str">
        <f>VLOOKUP(C75,Customers!A:B,2,FALSE)</f>
        <v>2023:11:30</v>
      </c>
      <c r="J75">
        <f>IFERROR(VLOOKUP($A75,Sheet3!$A:$E,2,FALSE),"")</f>
        <v>13</v>
      </c>
      <c r="K75" t="str">
        <f>IFERROR(VLOOKUP($A75,Sheet3!$A:$E,3,FALSE),"")</f>
        <v>7</v>
      </c>
      <c r="L75" t="str">
        <f>IFERROR(VLOOKUP($A75,Sheet3!$A:$E,4,FALSE),"")</f>
        <v>2024-09-09T05:21:46.000Z</v>
      </c>
      <c r="M75" t="str">
        <f>IFERROR(VLOOKUP($A75,Sheet3!$A:$E,5,FALSE),"")</f>
        <v>2026-03-14T06:17:47.000Z</v>
      </c>
      <c r="N75" s="4">
        <f t="shared" si="3"/>
        <v>284</v>
      </c>
      <c r="O75" t="s">
        <v>2809</v>
      </c>
    </row>
    <row r="76" spans="1:15" x14ac:dyDescent="0.25">
      <c r="A76" t="s">
        <v>514</v>
      </c>
      <c r="B76" t="s">
        <v>318</v>
      </c>
      <c r="C76" t="s">
        <v>29</v>
      </c>
      <c r="D76" t="s">
        <v>319</v>
      </c>
      <c r="E76" t="s">
        <v>320</v>
      </c>
      <c r="F76" t="s">
        <v>515</v>
      </c>
      <c r="G76" s="4">
        <f t="shared" si="2"/>
        <v>900.56666666666672</v>
      </c>
      <c r="H76" t="s">
        <v>516</v>
      </c>
      <c r="I76" t="str">
        <f>VLOOKUP(C76,Customers!A:B,2,FALSE)</f>
        <v>2023:11:30</v>
      </c>
      <c r="J76">
        <f>IFERROR(VLOOKUP($A76,Sheet3!$A:$E,2,FALSE),"")</f>
        <v>10</v>
      </c>
      <c r="K76" t="str">
        <f>IFERROR(VLOOKUP($A76,Sheet3!$A:$E,3,FALSE),"")</f>
        <v>4</v>
      </c>
      <c r="L76" t="str">
        <f>IFERROR(VLOOKUP($A76,Sheet3!$A:$E,4,FALSE),"")</f>
        <v>2024-05-08T04:06:09.000Z</v>
      </c>
      <c r="M76" t="str">
        <f>IFERROR(VLOOKUP($A76,Sheet3!$A:$E,5,FALSE),"")</f>
        <v>2025-09-26T04:00:45.000Z</v>
      </c>
      <c r="N76" s="4">
        <f t="shared" si="3"/>
        <v>160</v>
      </c>
      <c r="O76" t="s">
        <v>2808</v>
      </c>
    </row>
    <row r="77" spans="1:15" x14ac:dyDescent="0.25">
      <c r="A77" t="s">
        <v>517</v>
      </c>
      <c r="B77" t="s">
        <v>318</v>
      </c>
      <c r="C77" t="s">
        <v>29</v>
      </c>
      <c r="D77" t="s">
        <v>319</v>
      </c>
      <c r="E77" t="s">
        <v>320</v>
      </c>
      <c r="F77" t="s">
        <v>518</v>
      </c>
      <c r="G77" s="4">
        <f t="shared" si="2"/>
        <v>1268.3666666666666</v>
      </c>
      <c r="H77" t="s">
        <v>519</v>
      </c>
      <c r="I77" t="str">
        <f>VLOOKUP(C77,Customers!A:B,2,FALSE)</f>
        <v>2023:11:30</v>
      </c>
      <c r="J77">
        <f>IFERROR(VLOOKUP($A77,Sheet3!$A:$E,2,FALSE),"")</f>
        <v>30</v>
      </c>
      <c r="K77" t="str">
        <f>IFERROR(VLOOKUP($A77,Sheet3!$A:$E,3,FALSE),"")</f>
        <v>7</v>
      </c>
      <c r="L77" t="str">
        <f>IFERROR(VLOOKUP($A77,Sheet3!$A:$E,4,FALSE),"")</f>
        <v>2024-07-16T09:25:40.000Z</v>
      </c>
      <c r="M77" t="str">
        <f>IFERROR(VLOOKUP($A77,Sheet3!$A:$E,5,FALSE),"")</f>
        <v>2026-01-26T03:22:32.000Z</v>
      </c>
      <c r="N77" s="4">
        <f t="shared" si="3"/>
        <v>229</v>
      </c>
      <c r="O77" t="s">
        <v>2809</v>
      </c>
    </row>
    <row r="78" spans="1:15" x14ac:dyDescent="0.25">
      <c r="A78" t="s">
        <v>520</v>
      </c>
      <c r="B78" t="s">
        <v>318</v>
      </c>
      <c r="C78" t="s">
        <v>59</v>
      </c>
      <c r="D78" t="s">
        <v>504</v>
      </c>
      <c r="E78" t="s">
        <v>505</v>
      </c>
      <c r="F78" t="s">
        <v>521</v>
      </c>
      <c r="G78" s="4">
        <f t="shared" si="2"/>
        <v>221.23333333333332</v>
      </c>
      <c r="H78" t="s">
        <v>522</v>
      </c>
      <c r="I78" t="str">
        <f>VLOOKUP(C78,Customers!A:B,2,FALSE)</f>
        <v>2024:07:25</v>
      </c>
      <c r="J78">
        <f>IFERROR(VLOOKUP($A78,Sheet3!$A:$E,2,FALSE),"")</f>
        <v>14</v>
      </c>
      <c r="K78" t="str">
        <f>IFERROR(VLOOKUP($A78,Sheet3!$A:$E,3,FALSE),"")</f>
        <v>2</v>
      </c>
      <c r="L78" t="str">
        <f>IFERROR(VLOOKUP($A78,Sheet3!$A:$E,4,FALSE),"")</f>
        <v>2024-04-18T11:33:15.000Z</v>
      </c>
      <c r="M78" t="str">
        <f>IFERROR(VLOOKUP($A78,Sheet3!$A:$E,5,FALSE),"")</f>
        <v>2025-05-05T09:51:15.000Z</v>
      </c>
      <c r="N78" s="4">
        <f t="shared" si="3"/>
        <v>-98</v>
      </c>
      <c r="O78" t="s">
        <v>2808</v>
      </c>
    </row>
    <row r="79" spans="1:15" x14ac:dyDescent="0.25">
      <c r="A79" t="s">
        <v>523</v>
      </c>
      <c r="B79" t="s">
        <v>318</v>
      </c>
      <c r="C79" t="s">
        <v>29</v>
      </c>
      <c r="D79" t="s">
        <v>319</v>
      </c>
      <c r="E79" t="s">
        <v>320</v>
      </c>
      <c r="F79" t="s">
        <v>524</v>
      </c>
      <c r="G79" s="4">
        <f t="shared" si="2"/>
        <v>846.56666666666672</v>
      </c>
      <c r="H79" t="s">
        <v>525</v>
      </c>
      <c r="I79" t="str">
        <f>VLOOKUP(C79,Customers!A:B,2,FALSE)</f>
        <v>2023:11:30</v>
      </c>
      <c r="J79">
        <f>IFERROR(VLOOKUP($A79,Sheet3!$A:$E,2,FALSE),"")</f>
        <v>48</v>
      </c>
      <c r="K79" t="str">
        <f>IFERROR(VLOOKUP($A79,Sheet3!$A:$E,3,FALSE),"")</f>
        <v>10</v>
      </c>
      <c r="L79" t="str">
        <f>IFERROR(VLOOKUP($A79,Sheet3!$A:$E,4,FALSE),"")</f>
        <v>2024-05-05T02:51:44.000Z</v>
      </c>
      <c r="M79" t="str">
        <f>IFERROR(VLOOKUP($A79,Sheet3!$A:$E,5,FALSE),"")</f>
        <v>2026-01-11T06:49:21.000Z</v>
      </c>
      <c r="N79" s="4">
        <f t="shared" si="3"/>
        <v>157</v>
      </c>
      <c r="O79" t="s">
        <v>2809</v>
      </c>
    </row>
    <row r="80" spans="1:15" x14ac:dyDescent="0.25">
      <c r="A80" t="s">
        <v>526</v>
      </c>
      <c r="B80" t="s">
        <v>318</v>
      </c>
      <c r="C80" t="s">
        <v>29</v>
      </c>
      <c r="D80" t="s">
        <v>319</v>
      </c>
      <c r="E80" t="s">
        <v>320</v>
      </c>
      <c r="F80" t="s">
        <v>527</v>
      </c>
      <c r="G80" s="4">
        <f t="shared" si="2"/>
        <v>568.36666666666667</v>
      </c>
      <c r="H80" t="s">
        <v>528</v>
      </c>
      <c r="I80" t="str">
        <f>VLOOKUP(C80,Customers!A:B,2,FALSE)</f>
        <v>2023:11:30</v>
      </c>
      <c r="J80">
        <f>IFERROR(VLOOKUP($A80,Sheet3!$A:$E,2,FALSE),"")</f>
        <v>26</v>
      </c>
      <c r="K80" t="str">
        <f>IFERROR(VLOOKUP($A80,Sheet3!$A:$E,3,FALSE),"")</f>
        <v>9</v>
      </c>
      <c r="L80" t="str">
        <f>IFERROR(VLOOKUP($A80,Sheet3!$A:$E,4,FALSE),"")</f>
        <v>2024-05-16T04:43:15.000Z</v>
      </c>
      <c r="M80" t="str">
        <f>IFERROR(VLOOKUP($A80,Sheet3!$A:$E,5,FALSE),"")</f>
        <v>2026-03-03T05:17:17.000Z</v>
      </c>
      <c r="N80" s="4">
        <f t="shared" si="3"/>
        <v>168</v>
      </c>
      <c r="O80" t="s">
        <v>2808</v>
      </c>
    </row>
    <row r="81" spans="1:15" x14ac:dyDescent="0.25">
      <c r="A81" t="s">
        <v>529</v>
      </c>
      <c r="B81" t="s">
        <v>318</v>
      </c>
      <c r="C81" t="s">
        <v>29</v>
      </c>
      <c r="D81" t="s">
        <v>319</v>
      </c>
      <c r="E81" t="s">
        <v>320</v>
      </c>
      <c r="F81" t="s">
        <v>530</v>
      </c>
      <c r="G81" s="4">
        <f t="shared" si="2"/>
        <v>978.86666666666667</v>
      </c>
      <c r="H81" t="s">
        <v>531</v>
      </c>
      <c r="I81" t="str">
        <f>VLOOKUP(C81,Customers!A:B,2,FALSE)</f>
        <v>2023:11:30</v>
      </c>
      <c r="J81">
        <f>IFERROR(VLOOKUP($A81,Sheet3!$A:$E,2,FALSE),"")</f>
        <v>51</v>
      </c>
      <c r="K81" t="str">
        <f>IFERROR(VLOOKUP($A81,Sheet3!$A:$E,3,FALSE),"")</f>
        <v>23</v>
      </c>
      <c r="L81" t="str">
        <f>IFERROR(VLOOKUP($A81,Sheet3!$A:$E,4,FALSE),"")</f>
        <v>2024-04-26T01:32:50.000Z</v>
      </c>
      <c r="M81" t="str">
        <f>IFERROR(VLOOKUP($A81,Sheet3!$A:$E,5,FALSE),"")</f>
        <v>2025-09-08T08:04:08.000Z</v>
      </c>
      <c r="N81" s="4">
        <f t="shared" si="3"/>
        <v>148</v>
      </c>
      <c r="O81" t="s">
        <v>2809</v>
      </c>
    </row>
    <row r="82" spans="1:15" x14ac:dyDescent="0.25">
      <c r="A82" t="s">
        <v>532</v>
      </c>
      <c r="B82" t="s">
        <v>318</v>
      </c>
      <c r="C82" t="s">
        <v>29</v>
      </c>
      <c r="D82" t="s">
        <v>319</v>
      </c>
      <c r="E82" t="s">
        <v>320</v>
      </c>
      <c r="F82" t="s">
        <v>533</v>
      </c>
      <c r="G82" s="4">
        <f t="shared" si="2"/>
        <v>1232.75</v>
      </c>
      <c r="H82" t="s">
        <v>534</v>
      </c>
      <c r="I82" t="str">
        <f>VLOOKUP(C82,Customers!A:B,2,FALSE)</f>
        <v>2023:11:30</v>
      </c>
      <c r="J82">
        <f>IFERROR(VLOOKUP($A82,Sheet3!$A:$E,2,FALSE),"")</f>
        <v>27</v>
      </c>
      <c r="K82" t="str">
        <f>IFERROR(VLOOKUP($A82,Sheet3!$A:$E,3,FALSE),"")</f>
        <v>13</v>
      </c>
      <c r="L82" t="str">
        <f>IFERROR(VLOOKUP($A82,Sheet3!$A:$E,4,FALSE),"")</f>
        <v>2024-04-08T06:26:22.000Z</v>
      </c>
      <c r="M82" t="str">
        <f>IFERROR(VLOOKUP($A82,Sheet3!$A:$E,5,FALSE),"")</f>
        <v>2026-01-27T15:50:45.000Z</v>
      </c>
      <c r="N82" s="4">
        <f t="shared" si="3"/>
        <v>130</v>
      </c>
      <c r="O82" t="s">
        <v>2808</v>
      </c>
    </row>
    <row r="83" spans="1:15" x14ac:dyDescent="0.25">
      <c r="A83" t="s">
        <v>535</v>
      </c>
      <c r="B83" t="s">
        <v>318</v>
      </c>
      <c r="C83" t="s">
        <v>58</v>
      </c>
      <c r="D83" t="s">
        <v>536</v>
      </c>
      <c r="E83" t="s">
        <v>537</v>
      </c>
      <c r="F83" t="s">
        <v>538</v>
      </c>
      <c r="G83" s="4">
        <f t="shared" si="2"/>
        <v>270.25</v>
      </c>
      <c r="H83" t="s">
        <v>539</v>
      </c>
      <c r="I83" t="str">
        <f>VLOOKUP(C83,Customers!A:B,2,FALSE)</f>
        <v>2024:07:25</v>
      </c>
      <c r="J83">
        <f>IFERROR(VLOOKUP($A83,Sheet3!$A:$E,2,FALSE),"")</f>
        <v>20</v>
      </c>
      <c r="K83" t="str">
        <f>IFERROR(VLOOKUP($A83,Sheet3!$A:$E,3,FALSE),"")</f>
        <v>4</v>
      </c>
      <c r="L83" t="str">
        <f>IFERROR(VLOOKUP($A83,Sheet3!$A:$E,4,FALSE),"")</f>
        <v>2024-04-18T11:38:14.000Z</v>
      </c>
      <c r="M83" t="str">
        <f>IFERROR(VLOOKUP($A83,Sheet3!$A:$E,5,FALSE),"")</f>
        <v>2025-07-22T12:16:53.000Z</v>
      </c>
      <c r="N83" s="4">
        <f t="shared" si="3"/>
        <v>-98</v>
      </c>
      <c r="O83" t="s">
        <v>2809</v>
      </c>
    </row>
    <row r="84" spans="1:15" x14ac:dyDescent="0.25">
      <c r="A84" t="s">
        <v>540</v>
      </c>
      <c r="B84" t="s">
        <v>318</v>
      </c>
      <c r="C84" t="s">
        <v>58</v>
      </c>
      <c r="D84" t="s">
        <v>536</v>
      </c>
      <c r="E84" t="s">
        <v>537</v>
      </c>
      <c r="F84" t="s">
        <v>316</v>
      </c>
      <c r="G84" s="4" t="str">
        <f t="shared" si="2"/>
        <v/>
      </c>
      <c r="H84" t="s">
        <v>198</v>
      </c>
      <c r="I84" t="str">
        <f>VLOOKUP(C84,Customers!A:B,2,FALSE)</f>
        <v>2024:07:25</v>
      </c>
      <c r="J84">
        <f>IFERROR(VLOOKUP($A84,Sheet3!$A:$E,2,FALSE),"")</f>
        <v>6</v>
      </c>
      <c r="K84" t="str">
        <f>IFERROR(VLOOKUP($A84,Sheet3!$A:$E,3,FALSE),"")</f>
        <v>4</v>
      </c>
      <c r="L84" t="str">
        <f>IFERROR(VLOOKUP($A84,Sheet3!$A:$E,4,FALSE),"")</f>
        <v>2024-04-18T11:38:45.000Z</v>
      </c>
      <c r="M84" t="str">
        <f>IFERROR(VLOOKUP($A84,Sheet3!$A:$E,5,FALSE),"")</f>
        <v>2024-08-06T05:56:04.000Z</v>
      </c>
      <c r="N84" s="4">
        <f t="shared" si="3"/>
        <v>-98</v>
      </c>
      <c r="O84" t="s">
        <v>2808</v>
      </c>
    </row>
    <row r="85" spans="1:15" x14ac:dyDescent="0.25">
      <c r="A85" t="s">
        <v>541</v>
      </c>
      <c r="B85" t="s">
        <v>318</v>
      </c>
      <c r="C85" t="s">
        <v>29</v>
      </c>
      <c r="D85" t="s">
        <v>319</v>
      </c>
      <c r="E85" t="s">
        <v>320</v>
      </c>
      <c r="F85" t="s">
        <v>542</v>
      </c>
      <c r="G85" s="4">
        <f t="shared" si="2"/>
        <v>44.416666666666664</v>
      </c>
      <c r="H85" t="s">
        <v>543</v>
      </c>
      <c r="I85" t="str">
        <f>VLOOKUP(C85,Customers!A:B,2,FALSE)</f>
        <v>2023:11:30</v>
      </c>
      <c r="J85">
        <f>IFERROR(VLOOKUP($A85,Sheet3!$A:$E,2,FALSE),"")</f>
        <v>17</v>
      </c>
      <c r="K85" t="str">
        <f>IFERROR(VLOOKUP($A85,Sheet3!$A:$E,3,FALSE),"")</f>
        <v>4</v>
      </c>
      <c r="L85" t="str">
        <f>IFERROR(VLOOKUP($A85,Sheet3!$A:$E,4,FALSE),"")</f>
        <v>2024-07-08T06:51:02.000Z</v>
      </c>
      <c r="M85" t="str">
        <f>IFERROR(VLOOKUP($A85,Sheet3!$A:$E,5,FALSE),"")</f>
        <v>2025-12-22T05:48:18.000Z</v>
      </c>
      <c r="N85" s="4">
        <f t="shared" si="3"/>
        <v>221</v>
      </c>
      <c r="O85" t="s">
        <v>2809</v>
      </c>
    </row>
    <row r="86" spans="1:15" x14ac:dyDescent="0.25">
      <c r="A86" t="s">
        <v>544</v>
      </c>
      <c r="B86" t="s">
        <v>318</v>
      </c>
      <c r="C86" t="s">
        <v>29</v>
      </c>
      <c r="D86" t="s">
        <v>319</v>
      </c>
      <c r="E86" t="s">
        <v>320</v>
      </c>
      <c r="F86" t="s">
        <v>545</v>
      </c>
      <c r="G86" s="4">
        <f t="shared" si="2"/>
        <v>1327.8</v>
      </c>
      <c r="H86" t="s">
        <v>546</v>
      </c>
      <c r="I86" t="str">
        <f>VLOOKUP(C86,Customers!A:B,2,FALSE)</f>
        <v>2023:11:30</v>
      </c>
      <c r="J86">
        <f>IFERROR(VLOOKUP($A86,Sheet3!$A:$E,2,FALSE),"")</f>
        <v>17</v>
      </c>
      <c r="K86" t="str">
        <f>IFERROR(VLOOKUP($A86,Sheet3!$A:$E,3,FALSE),"")</f>
        <v>0</v>
      </c>
      <c r="L86" t="str">
        <f>IFERROR(VLOOKUP($A86,Sheet3!$A:$E,4,FALSE),"")</f>
        <v>2024-05-31T08:39:09.000Z</v>
      </c>
      <c r="M86" t="str">
        <f>IFERROR(VLOOKUP($A86,Sheet3!$A:$E,5,FALSE),"")</f>
        <v>2026-01-12T06:13:41.000Z</v>
      </c>
      <c r="N86" s="4">
        <f t="shared" si="3"/>
        <v>183</v>
      </c>
      <c r="O86" t="s">
        <v>2808</v>
      </c>
    </row>
    <row r="87" spans="1:15" x14ac:dyDescent="0.25">
      <c r="A87" t="s">
        <v>547</v>
      </c>
      <c r="B87" t="s">
        <v>318</v>
      </c>
      <c r="C87" t="s">
        <v>29</v>
      </c>
      <c r="D87" t="s">
        <v>319</v>
      </c>
      <c r="E87" t="s">
        <v>320</v>
      </c>
      <c r="F87" t="s">
        <v>548</v>
      </c>
      <c r="G87" s="4">
        <f t="shared" si="2"/>
        <v>116.11666666666666</v>
      </c>
      <c r="H87" t="s">
        <v>198</v>
      </c>
      <c r="I87" t="str">
        <f>VLOOKUP(C87,Customers!A:B,2,FALSE)</f>
        <v>2023:11:30</v>
      </c>
      <c r="J87">
        <f>IFERROR(VLOOKUP($A87,Sheet3!$A:$E,2,FALSE),"")</f>
        <v>2</v>
      </c>
      <c r="K87" t="str">
        <f>IFERROR(VLOOKUP($A87,Sheet3!$A:$E,3,FALSE),"")</f>
        <v>0</v>
      </c>
      <c r="L87" t="str">
        <f>IFERROR(VLOOKUP($A87,Sheet3!$A:$E,4,FALSE),"")</f>
        <v>2024-05-17T03:37:35.000Z</v>
      </c>
      <c r="M87" t="str">
        <f>IFERROR(VLOOKUP($A87,Sheet3!$A:$E,5,FALSE),"")</f>
        <v>2024-09-04T03:31:10.000Z</v>
      </c>
      <c r="N87" s="4">
        <f t="shared" si="3"/>
        <v>169</v>
      </c>
      <c r="O87" t="s">
        <v>2809</v>
      </c>
    </row>
    <row r="88" spans="1:15" x14ac:dyDescent="0.25">
      <c r="A88" t="s">
        <v>549</v>
      </c>
      <c r="B88" t="s">
        <v>318</v>
      </c>
      <c r="C88" t="s">
        <v>29</v>
      </c>
      <c r="D88" t="s">
        <v>319</v>
      </c>
      <c r="E88" t="s">
        <v>320</v>
      </c>
      <c r="F88" t="s">
        <v>550</v>
      </c>
      <c r="G88" s="4">
        <f t="shared" si="2"/>
        <v>69.95</v>
      </c>
      <c r="H88" t="s">
        <v>551</v>
      </c>
      <c r="I88" t="str">
        <f>VLOOKUP(C88,Customers!A:B,2,FALSE)</f>
        <v>2023:11:30</v>
      </c>
      <c r="J88">
        <f>IFERROR(VLOOKUP($A88,Sheet3!$A:$E,2,FALSE),"")</f>
        <v>42</v>
      </c>
      <c r="K88" t="str">
        <f>IFERROR(VLOOKUP($A88,Sheet3!$A:$E,3,FALSE),"")</f>
        <v>20</v>
      </c>
      <c r="L88" t="str">
        <f>IFERROR(VLOOKUP($A88,Sheet3!$A:$E,4,FALSE),"")</f>
        <v>2024-07-07T06:32:19.000Z</v>
      </c>
      <c r="M88" t="str">
        <f>IFERROR(VLOOKUP($A88,Sheet3!$A:$E,5,FALSE),"")</f>
        <v>2025-05-30T09:33:17.000Z</v>
      </c>
      <c r="N88" s="4">
        <f t="shared" si="3"/>
        <v>220</v>
      </c>
      <c r="O88" t="s">
        <v>2808</v>
      </c>
    </row>
    <row r="89" spans="1:15" x14ac:dyDescent="0.25">
      <c r="A89" t="s">
        <v>552</v>
      </c>
      <c r="B89" t="s">
        <v>318</v>
      </c>
      <c r="C89" t="s">
        <v>29</v>
      </c>
      <c r="D89" t="s">
        <v>319</v>
      </c>
      <c r="E89" t="s">
        <v>320</v>
      </c>
      <c r="F89" t="s">
        <v>553</v>
      </c>
      <c r="G89" s="4">
        <f t="shared" si="2"/>
        <v>764.88333333333333</v>
      </c>
      <c r="H89" t="s">
        <v>554</v>
      </c>
      <c r="I89" t="str">
        <f>VLOOKUP(C89,Customers!A:B,2,FALSE)</f>
        <v>2023:11:30</v>
      </c>
      <c r="J89">
        <f>IFERROR(VLOOKUP($A89,Sheet3!$A:$E,2,FALSE),"")</f>
        <v>25</v>
      </c>
      <c r="K89" t="str">
        <f>IFERROR(VLOOKUP($A89,Sheet3!$A:$E,3,FALSE),"")</f>
        <v>9</v>
      </c>
      <c r="L89" t="str">
        <f>IFERROR(VLOOKUP($A89,Sheet3!$A:$E,4,FALSE),"")</f>
        <v>2024-06-27T08:11:57.000Z</v>
      </c>
      <c r="M89" t="str">
        <f>IFERROR(VLOOKUP($A89,Sheet3!$A:$E,5,FALSE),"")</f>
        <v>2026-01-08T05:26:39.000Z</v>
      </c>
      <c r="N89" s="4">
        <f t="shared" si="3"/>
        <v>210</v>
      </c>
      <c r="O89" t="s">
        <v>2809</v>
      </c>
    </row>
    <row r="90" spans="1:15" x14ac:dyDescent="0.25">
      <c r="A90" t="s">
        <v>555</v>
      </c>
      <c r="B90" t="s">
        <v>318</v>
      </c>
      <c r="C90" t="s">
        <v>29</v>
      </c>
      <c r="D90" t="s">
        <v>319</v>
      </c>
      <c r="E90" t="s">
        <v>320</v>
      </c>
      <c r="F90" t="s">
        <v>556</v>
      </c>
      <c r="G90" s="4">
        <f t="shared" si="2"/>
        <v>521.20000000000005</v>
      </c>
      <c r="H90" t="s">
        <v>557</v>
      </c>
      <c r="I90" t="str">
        <f>VLOOKUP(C90,Customers!A:B,2,FALSE)</f>
        <v>2023:11:30</v>
      </c>
      <c r="J90">
        <f>IFERROR(VLOOKUP($A90,Sheet3!$A:$E,2,FALSE),"")</f>
        <v>19</v>
      </c>
      <c r="K90" t="str">
        <f>IFERROR(VLOOKUP($A90,Sheet3!$A:$E,3,FALSE),"")</f>
        <v>9</v>
      </c>
      <c r="L90" t="str">
        <f>IFERROR(VLOOKUP($A90,Sheet3!$A:$E,4,FALSE),"")</f>
        <v>2024-03-04T12:29:40.000Z</v>
      </c>
      <c r="M90" t="str">
        <f>IFERROR(VLOOKUP($A90,Sheet3!$A:$E,5,FALSE),"")</f>
        <v>2025-12-17T11:01:48.000Z</v>
      </c>
      <c r="N90" s="4">
        <f t="shared" si="3"/>
        <v>95</v>
      </c>
      <c r="O90" t="s">
        <v>2808</v>
      </c>
    </row>
    <row r="91" spans="1:15" x14ac:dyDescent="0.25">
      <c r="A91" t="s">
        <v>558</v>
      </c>
      <c r="B91" t="s">
        <v>318</v>
      </c>
      <c r="C91" t="s">
        <v>29</v>
      </c>
      <c r="D91" t="s">
        <v>319</v>
      </c>
      <c r="E91" t="s">
        <v>320</v>
      </c>
      <c r="F91" t="s">
        <v>559</v>
      </c>
      <c r="G91" s="4">
        <f t="shared" si="2"/>
        <v>850.93333333333328</v>
      </c>
      <c r="H91" t="s">
        <v>560</v>
      </c>
      <c r="I91" t="str">
        <f>VLOOKUP(C91,Customers!A:B,2,FALSE)</f>
        <v>2023:11:30</v>
      </c>
      <c r="J91">
        <f>IFERROR(VLOOKUP($A91,Sheet3!$A:$E,2,FALSE),"")</f>
        <v>15</v>
      </c>
      <c r="K91" t="str">
        <f>IFERROR(VLOOKUP($A91,Sheet3!$A:$E,3,FALSE),"")</f>
        <v>5</v>
      </c>
      <c r="L91" t="str">
        <f>IFERROR(VLOOKUP($A91,Sheet3!$A:$E,4,FALSE),"")</f>
        <v>2024-05-26T08:54:40.000Z</v>
      </c>
      <c r="M91" t="str">
        <f>IFERROR(VLOOKUP($A91,Sheet3!$A:$E,5,FALSE),"")</f>
        <v>2025-09-16T07:28:25.000Z</v>
      </c>
      <c r="N91" s="4">
        <f t="shared" si="3"/>
        <v>178</v>
      </c>
      <c r="O91" t="s">
        <v>2809</v>
      </c>
    </row>
    <row r="92" spans="1:15" x14ac:dyDescent="0.25">
      <c r="A92" t="s">
        <v>561</v>
      </c>
      <c r="B92" t="s">
        <v>318</v>
      </c>
      <c r="C92" t="s">
        <v>29</v>
      </c>
      <c r="D92" t="s">
        <v>319</v>
      </c>
      <c r="E92" t="s">
        <v>320</v>
      </c>
      <c r="F92" t="s">
        <v>562</v>
      </c>
      <c r="G92" s="4">
        <f t="shared" si="2"/>
        <v>1023.8333333333334</v>
      </c>
      <c r="H92" t="s">
        <v>563</v>
      </c>
      <c r="I92" t="str">
        <f>VLOOKUP(C92,Customers!A:B,2,FALSE)</f>
        <v>2023:11:30</v>
      </c>
      <c r="J92">
        <f>IFERROR(VLOOKUP($A92,Sheet3!$A:$E,2,FALSE),"")</f>
        <v>14</v>
      </c>
      <c r="K92" t="str">
        <f>IFERROR(VLOOKUP($A92,Sheet3!$A:$E,3,FALSE),"")</f>
        <v>4</v>
      </c>
      <c r="L92" t="str">
        <f>IFERROR(VLOOKUP($A92,Sheet3!$A:$E,4,FALSE),"")</f>
        <v>2024-06-04T05:48:49.000Z</v>
      </c>
      <c r="M92" t="str">
        <f>IFERROR(VLOOKUP($A92,Sheet3!$A:$E,5,FALSE),"")</f>
        <v>2026-01-27T04:22:27.000Z</v>
      </c>
      <c r="N92" s="4">
        <f t="shared" si="3"/>
        <v>187</v>
      </c>
      <c r="O92" t="s">
        <v>2808</v>
      </c>
    </row>
    <row r="93" spans="1:15" x14ac:dyDescent="0.25">
      <c r="A93" t="s">
        <v>564</v>
      </c>
      <c r="B93" t="s">
        <v>318</v>
      </c>
      <c r="C93" t="s">
        <v>35</v>
      </c>
      <c r="D93" t="s">
        <v>443</v>
      </c>
      <c r="E93" t="s">
        <v>444</v>
      </c>
      <c r="F93" t="s">
        <v>565</v>
      </c>
      <c r="G93" s="4">
        <f t="shared" si="2"/>
        <v>297.45</v>
      </c>
      <c r="H93" t="s">
        <v>566</v>
      </c>
      <c r="I93" t="str">
        <f>VLOOKUP(C93,Customers!A:B,2,FALSE)</f>
        <v>2024:01:06</v>
      </c>
      <c r="J93">
        <f>IFERROR(VLOOKUP($A93,Sheet3!$A:$E,2,FALSE),"")</f>
        <v>13</v>
      </c>
      <c r="K93" t="str">
        <f>IFERROR(VLOOKUP($A93,Sheet3!$A:$E,3,FALSE),"")</f>
        <v>0</v>
      </c>
      <c r="L93" t="str">
        <f>IFERROR(VLOOKUP($A93,Sheet3!$A:$E,4,FALSE),"")</f>
        <v>2024-03-15T07:33:59.000Z</v>
      </c>
      <c r="M93" t="str">
        <f>IFERROR(VLOOKUP($A93,Sheet3!$A:$E,5,FALSE),"")</f>
        <v>2025-02-17T11:00:43.000Z</v>
      </c>
      <c r="N93" s="4">
        <f t="shared" si="3"/>
        <v>69</v>
      </c>
      <c r="O93" t="s">
        <v>2809</v>
      </c>
    </row>
    <row r="94" spans="1:15" x14ac:dyDescent="0.25">
      <c r="A94" t="s">
        <v>567</v>
      </c>
      <c r="B94" t="s">
        <v>318</v>
      </c>
      <c r="C94" t="s">
        <v>29</v>
      </c>
      <c r="D94" t="s">
        <v>319</v>
      </c>
      <c r="E94" t="s">
        <v>320</v>
      </c>
      <c r="F94" t="s">
        <v>568</v>
      </c>
      <c r="G94" s="4">
        <f t="shared" si="2"/>
        <v>197.31666666666666</v>
      </c>
      <c r="H94" t="s">
        <v>569</v>
      </c>
      <c r="I94" t="str">
        <f>VLOOKUP(C94,Customers!A:B,2,FALSE)</f>
        <v>2023:11:30</v>
      </c>
      <c r="J94">
        <f>IFERROR(VLOOKUP($A94,Sheet3!$A:$E,2,FALSE),"")</f>
        <v>18</v>
      </c>
      <c r="K94" t="str">
        <f>IFERROR(VLOOKUP($A94,Sheet3!$A:$E,3,FALSE),"")</f>
        <v>7</v>
      </c>
      <c r="L94" t="str">
        <f>IFERROR(VLOOKUP($A94,Sheet3!$A:$E,4,FALSE),"")</f>
        <v>2024-04-28T03:15:14.000Z</v>
      </c>
      <c r="M94" t="str">
        <f>IFERROR(VLOOKUP($A94,Sheet3!$A:$E,5,FALSE),"")</f>
        <v>2026-01-21T13:05:25.000Z</v>
      </c>
      <c r="N94" s="4">
        <f t="shared" si="3"/>
        <v>150</v>
      </c>
      <c r="O94" t="s">
        <v>2808</v>
      </c>
    </row>
    <row r="95" spans="1:15" x14ac:dyDescent="0.25">
      <c r="A95" t="s">
        <v>570</v>
      </c>
      <c r="B95" t="s">
        <v>318</v>
      </c>
      <c r="C95" t="s">
        <v>29</v>
      </c>
      <c r="D95" t="s">
        <v>319</v>
      </c>
      <c r="E95" t="s">
        <v>320</v>
      </c>
      <c r="F95" t="s">
        <v>571</v>
      </c>
      <c r="G95" s="4">
        <f t="shared" si="2"/>
        <v>27.6</v>
      </c>
      <c r="H95" t="s">
        <v>572</v>
      </c>
      <c r="I95" t="str">
        <f>VLOOKUP(C95,Customers!A:B,2,FALSE)</f>
        <v>2023:11:30</v>
      </c>
      <c r="J95">
        <f>IFERROR(VLOOKUP($A95,Sheet3!$A:$E,2,FALSE),"")</f>
        <v>1</v>
      </c>
      <c r="K95" t="str">
        <f>IFERROR(VLOOKUP($A95,Sheet3!$A:$E,3,FALSE),"")</f>
        <v>0</v>
      </c>
      <c r="L95" t="str">
        <f>IFERROR(VLOOKUP($A95,Sheet3!$A:$E,4,FALSE),"")</f>
        <v>2024-05-27T11:51:54.000Z</v>
      </c>
      <c r="M95" t="str">
        <f>IFERROR(VLOOKUP($A95,Sheet3!$A:$E,5,FALSE),"")</f>
        <v>2024-05-27T11:51:54.000Z</v>
      </c>
      <c r="N95" s="4">
        <f t="shared" si="3"/>
        <v>179</v>
      </c>
      <c r="O95" t="s">
        <v>2809</v>
      </c>
    </row>
    <row r="96" spans="1:15" x14ac:dyDescent="0.25">
      <c r="A96" t="s">
        <v>573</v>
      </c>
      <c r="B96" t="s">
        <v>318</v>
      </c>
      <c r="C96" t="s">
        <v>29</v>
      </c>
      <c r="D96" t="s">
        <v>319</v>
      </c>
      <c r="E96" t="s">
        <v>320</v>
      </c>
      <c r="F96" t="s">
        <v>574</v>
      </c>
      <c r="G96" s="4">
        <f t="shared" si="2"/>
        <v>343.4</v>
      </c>
      <c r="H96" t="s">
        <v>575</v>
      </c>
      <c r="I96" t="str">
        <f>VLOOKUP(C96,Customers!A:B,2,FALSE)</f>
        <v>2023:11:30</v>
      </c>
      <c r="J96">
        <f>IFERROR(VLOOKUP($A96,Sheet3!$A:$E,2,FALSE),"")</f>
        <v>10</v>
      </c>
      <c r="K96" t="str">
        <f>IFERROR(VLOOKUP($A96,Sheet3!$A:$E,3,FALSE),"")</f>
        <v>2</v>
      </c>
      <c r="L96" t="str">
        <f>IFERROR(VLOOKUP($A96,Sheet3!$A:$E,4,FALSE),"")</f>
        <v>2024-05-18T07:14:09.000Z</v>
      </c>
      <c r="M96" t="str">
        <f>IFERROR(VLOOKUP($A96,Sheet3!$A:$E,5,FALSE),"")</f>
        <v>2026-03-25T08:22:35.000Z</v>
      </c>
      <c r="N96" s="4">
        <f t="shared" si="3"/>
        <v>170</v>
      </c>
      <c r="O96" t="s">
        <v>2808</v>
      </c>
    </row>
    <row r="97" spans="1:15" x14ac:dyDescent="0.25">
      <c r="A97" t="s">
        <v>576</v>
      </c>
      <c r="B97" t="s">
        <v>318</v>
      </c>
      <c r="C97" t="s">
        <v>29</v>
      </c>
      <c r="D97" t="s">
        <v>319</v>
      </c>
      <c r="E97" t="s">
        <v>320</v>
      </c>
      <c r="F97" t="s">
        <v>577</v>
      </c>
      <c r="G97" s="4">
        <f t="shared" si="2"/>
        <v>30.183333333333334</v>
      </c>
      <c r="H97" t="s">
        <v>578</v>
      </c>
      <c r="I97" t="str">
        <f>VLOOKUP(C97,Customers!A:B,2,FALSE)</f>
        <v>2023:11:30</v>
      </c>
      <c r="J97">
        <f>IFERROR(VLOOKUP($A97,Sheet3!$A:$E,2,FALSE),"")</f>
        <v>1</v>
      </c>
      <c r="K97" t="str">
        <f>IFERROR(VLOOKUP($A97,Sheet3!$A:$E,3,FALSE),"")</f>
        <v>0</v>
      </c>
      <c r="L97" t="str">
        <f>IFERROR(VLOOKUP($A97,Sheet3!$A:$E,4,FALSE),"")</f>
        <v>2025-06-12T07:56:57.000Z</v>
      </c>
      <c r="M97" t="str">
        <f>IFERROR(VLOOKUP($A97,Sheet3!$A:$E,5,FALSE),"")</f>
        <v>2025-06-12T07:56:57.000Z</v>
      </c>
      <c r="N97" s="4">
        <f t="shared" si="3"/>
        <v>560</v>
      </c>
      <c r="O97" t="s">
        <v>2809</v>
      </c>
    </row>
    <row r="98" spans="1:15" x14ac:dyDescent="0.25">
      <c r="A98" t="s">
        <v>579</v>
      </c>
      <c r="B98" t="s">
        <v>318</v>
      </c>
      <c r="C98" t="s">
        <v>29</v>
      </c>
      <c r="D98" t="s">
        <v>319</v>
      </c>
      <c r="E98" t="s">
        <v>320</v>
      </c>
      <c r="F98" t="s">
        <v>580</v>
      </c>
      <c r="G98" s="4">
        <f t="shared" si="2"/>
        <v>171.96666666666667</v>
      </c>
      <c r="H98" t="s">
        <v>581</v>
      </c>
      <c r="I98" t="str">
        <f>VLOOKUP(C98,Customers!A:B,2,FALSE)</f>
        <v>2023:11:30</v>
      </c>
      <c r="J98">
        <f>IFERROR(VLOOKUP($A98,Sheet3!$A:$E,2,FALSE),"")</f>
        <v>11</v>
      </c>
      <c r="K98" t="str">
        <f>IFERROR(VLOOKUP($A98,Sheet3!$A:$E,3,FALSE),"")</f>
        <v>5</v>
      </c>
      <c r="L98" t="str">
        <f>IFERROR(VLOOKUP($A98,Sheet3!$A:$E,4,FALSE),"")</f>
        <v>2024-04-22T08:17:34.000Z</v>
      </c>
      <c r="M98" t="str">
        <f>IFERROR(VLOOKUP($A98,Sheet3!$A:$E,5,FALSE),"")</f>
        <v>2025-06-11T08:01:01.000Z</v>
      </c>
      <c r="N98" s="4">
        <f t="shared" si="3"/>
        <v>144</v>
      </c>
      <c r="O98" t="s">
        <v>2808</v>
      </c>
    </row>
    <row r="99" spans="1:15" x14ac:dyDescent="0.25">
      <c r="A99" t="s">
        <v>582</v>
      </c>
      <c r="B99" t="s">
        <v>318</v>
      </c>
      <c r="C99" t="s">
        <v>29</v>
      </c>
      <c r="D99" t="s">
        <v>319</v>
      </c>
      <c r="E99" t="s">
        <v>320</v>
      </c>
      <c r="F99" t="s">
        <v>583</v>
      </c>
      <c r="G99" s="4">
        <f t="shared" si="2"/>
        <v>266.21666666666664</v>
      </c>
      <c r="H99" t="s">
        <v>584</v>
      </c>
      <c r="I99" t="str">
        <f>VLOOKUP(C99,Customers!A:B,2,FALSE)</f>
        <v>2023:11:30</v>
      </c>
      <c r="J99">
        <f>IFERROR(VLOOKUP($A99,Sheet3!$A:$E,2,FALSE),"")</f>
        <v>30</v>
      </c>
      <c r="K99" t="str">
        <f>IFERROR(VLOOKUP($A99,Sheet3!$A:$E,3,FALSE),"")</f>
        <v>1</v>
      </c>
      <c r="L99" t="str">
        <f>IFERROR(VLOOKUP($A99,Sheet3!$A:$E,4,FALSE),"")</f>
        <v>2024-04-14T13:11:53.000Z</v>
      </c>
      <c r="M99" t="str">
        <f>IFERROR(VLOOKUP($A99,Sheet3!$A:$E,5,FALSE),"")</f>
        <v>2026-04-24T11:16:55.000Z</v>
      </c>
      <c r="N99" s="4">
        <f t="shared" si="3"/>
        <v>136</v>
      </c>
      <c r="O99" t="s">
        <v>2809</v>
      </c>
    </row>
    <row r="100" spans="1:15" x14ac:dyDescent="0.25">
      <c r="A100" t="s">
        <v>585</v>
      </c>
      <c r="B100" t="s">
        <v>318</v>
      </c>
      <c r="C100" t="s">
        <v>29</v>
      </c>
      <c r="D100" t="s">
        <v>319</v>
      </c>
      <c r="E100" t="s">
        <v>320</v>
      </c>
      <c r="F100" t="s">
        <v>586</v>
      </c>
      <c r="G100" s="4">
        <f t="shared" si="2"/>
        <v>112.25</v>
      </c>
      <c r="H100" t="s">
        <v>587</v>
      </c>
      <c r="I100" t="str">
        <f>VLOOKUP(C100,Customers!A:B,2,FALSE)</f>
        <v>2023:11:30</v>
      </c>
      <c r="J100">
        <f>IFERROR(VLOOKUP($A100,Sheet3!$A:$E,2,FALSE),"")</f>
        <v>25</v>
      </c>
      <c r="K100" t="str">
        <f>IFERROR(VLOOKUP($A100,Sheet3!$A:$E,3,FALSE),"")</f>
        <v>16</v>
      </c>
      <c r="L100" t="str">
        <f>IFERROR(VLOOKUP($A100,Sheet3!$A:$E,4,FALSE),"")</f>
        <v>2024-05-22T09:04:44.000Z</v>
      </c>
      <c r="M100" t="str">
        <f>IFERROR(VLOOKUP($A100,Sheet3!$A:$E,5,FALSE),"")</f>
        <v>2025-12-28T11:47:03.000Z</v>
      </c>
      <c r="N100" s="4">
        <f t="shared" si="3"/>
        <v>174</v>
      </c>
      <c r="O100" t="s">
        <v>2808</v>
      </c>
    </row>
    <row r="101" spans="1:15" x14ac:dyDescent="0.25">
      <c r="A101" t="s">
        <v>588</v>
      </c>
      <c r="B101" t="s">
        <v>318</v>
      </c>
      <c r="C101" t="s">
        <v>29</v>
      </c>
      <c r="D101" t="s">
        <v>319</v>
      </c>
      <c r="E101" t="s">
        <v>320</v>
      </c>
      <c r="F101" t="s">
        <v>589</v>
      </c>
      <c r="G101" s="4">
        <f t="shared" si="2"/>
        <v>994.2833333333333</v>
      </c>
      <c r="H101" t="s">
        <v>590</v>
      </c>
      <c r="I101" t="str">
        <f>VLOOKUP(C101,Customers!A:B,2,FALSE)</f>
        <v>2023:11:30</v>
      </c>
      <c r="J101">
        <f>IFERROR(VLOOKUP($A101,Sheet3!$A:$E,2,FALSE),"")</f>
        <v>11</v>
      </c>
      <c r="K101" t="str">
        <f>IFERROR(VLOOKUP($A101,Sheet3!$A:$E,3,FALSE),"")</f>
        <v>4</v>
      </c>
      <c r="L101" t="str">
        <f>IFERROR(VLOOKUP($A101,Sheet3!$A:$E,4,FALSE),"")</f>
        <v>2024-05-18T09:17:31.000Z</v>
      </c>
      <c r="M101" t="str">
        <f>IFERROR(VLOOKUP($A101,Sheet3!$A:$E,5,FALSE),"")</f>
        <v>2025-06-10T03:16:09.000Z</v>
      </c>
      <c r="N101" s="4">
        <f t="shared" si="3"/>
        <v>170</v>
      </c>
      <c r="O101" t="s">
        <v>2809</v>
      </c>
    </row>
    <row r="102" spans="1:15" x14ac:dyDescent="0.25">
      <c r="A102" t="s">
        <v>591</v>
      </c>
      <c r="B102" t="s">
        <v>318</v>
      </c>
      <c r="C102" t="s">
        <v>29</v>
      </c>
      <c r="D102" t="s">
        <v>319</v>
      </c>
      <c r="E102" t="s">
        <v>320</v>
      </c>
      <c r="F102" t="s">
        <v>592</v>
      </c>
      <c r="G102" s="4">
        <f t="shared" si="2"/>
        <v>1372.2666666666667</v>
      </c>
      <c r="H102" t="s">
        <v>593</v>
      </c>
      <c r="I102" t="str">
        <f>VLOOKUP(C102,Customers!A:B,2,FALSE)</f>
        <v>2023:11:30</v>
      </c>
      <c r="J102">
        <f>IFERROR(VLOOKUP($A102,Sheet3!$A:$E,2,FALSE),"")</f>
        <v>53</v>
      </c>
      <c r="K102" t="str">
        <f>IFERROR(VLOOKUP($A102,Sheet3!$A:$E,3,FALSE),"")</f>
        <v>14</v>
      </c>
      <c r="L102" t="str">
        <f>IFERROR(VLOOKUP($A102,Sheet3!$A:$E,4,FALSE),"")</f>
        <v>2024-04-24T06:22:37.000Z</v>
      </c>
      <c r="M102" t="str">
        <f>IFERROR(VLOOKUP($A102,Sheet3!$A:$E,5,FALSE),"")</f>
        <v>2026-01-14T09:40:29.000Z</v>
      </c>
      <c r="N102" s="4">
        <f t="shared" si="3"/>
        <v>146</v>
      </c>
      <c r="O102" t="s">
        <v>2808</v>
      </c>
    </row>
    <row r="103" spans="1:15" x14ac:dyDescent="0.25">
      <c r="A103" t="s">
        <v>594</v>
      </c>
      <c r="B103" t="s">
        <v>318</v>
      </c>
      <c r="C103" t="s">
        <v>29</v>
      </c>
      <c r="D103" t="s">
        <v>319</v>
      </c>
      <c r="E103" t="s">
        <v>320</v>
      </c>
      <c r="F103" t="s">
        <v>595</v>
      </c>
      <c r="G103" s="4">
        <f t="shared" si="2"/>
        <v>1438.3</v>
      </c>
      <c r="H103" t="s">
        <v>596</v>
      </c>
      <c r="I103" t="str">
        <f>VLOOKUP(C103,Customers!A:B,2,FALSE)</f>
        <v>2023:11:30</v>
      </c>
      <c r="J103">
        <f>IFERROR(VLOOKUP($A103,Sheet3!$A:$E,2,FALSE),"")</f>
        <v>17</v>
      </c>
      <c r="K103" t="str">
        <f>IFERROR(VLOOKUP($A103,Sheet3!$A:$E,3,FALSE),"")</f>
        <v>1</v>
      </c>
      <c r="L103" t="str">
        <f>IFERROR(VLOOKUP($A103,Sheet3!$A:$E,4,FALSE),"")</f>
        <v>2024-06-10T04:45:41.000Z</v>
      </c>
      <c r="M103" t="str">
        <f>IFERROR(VLOOKUP($A103,Sheet3!$A:$E,5,FALSE),"")</f>
        <v>2025-08-04T12:22:25.000Z</v>
      </c>
      <c r="N103" s="4">
        <f t="shared" si="3"/>
        <v>193</v>
      </c>
      <c r="O103" t="s">
        <v>2809</v>
      </c>
    </row>
    <row r="104" spans="1:15" x14ac:dyDescent="0.25">
      <c r="A104" t="s">
        <v>597</v>
      </c>
      <c r="B104" t="s">
        <v>318</v>
      </c>
      <c r="C104" t="s">
        <v>29</v>
      </c>
      <c r="D104" t="s">
        <v>319</v>
      </c>
      <c r="E104" t="s">
        <v>320</v>
      </c>
      <c r="F104" t="s">
        <v>598</v>
      </c>
      <c r="G104" s="4">
        <f t="shared" si="2"/>
        <v>698.35</v>
      </c>
      <c r="H104" t="s">
        <v>599</v>
      </c>
      <c r="I104" t="str">
        <f>VLOOKUP(C104,Customers!A:B,2,FALSE)</f>
        <v>2023:11:30</v>
      </c>
      <c r="J104">
        <f>IFERROR(VLOOKUP($A104,Sheet3!$A:$E,2,FALSE),"")</f>
        <v>19</v>
      </c>
      <c r="K104" t="str">
        <f>IFERROR(VLOOKUP($A104,Sheet3!$A:$E,3,FALSE),"")</f>
        <v>6</v>
      </c>
      <c r="L104" t="str">
        <f>IFERROR(VLOOKUP($A104,Sheet3!$A:$E,4,FALSE),"")</f>
        <v>2024-06-21T09:26:34.000Z</v>
      </c>
      <c r="M104" t="str">
        <f>IFERROR(VLOOKUP($A104,Sheet3!$A:$E,5,FALSE),"")</f>
        <v>2026-02-10T03:51:58.000Z</v>
      </c>
      <c r="N104" s="4">
        <f t="shared" si="3"/>
        <v>204</v>
      </c>
      <c r="O104" t="s">
        <v>2808</v>
      </c>
    </row>
    <row r="105" spans="1:15" x14ac:dyDescent="0.25">
      <c r="A105" t="s">
        <v>600</v>
      </c>
      <c r="B105" t="s">
        <v>318</v>
      </c>
      <c r="C105" t="s">
        <v>29</v>
      </c>
      <c r="D105" t="s">
        <v>319</v>
      </c>
      <c r="E105" t="s">
        <v>320</v>
      </c>
      <c r="F105" t="s">
        <v>601</v>
      </c>
      <c r="G105" s="4">
        <f t="shared" si="2"/>
        <v>464.6</v>
      </c>
      <c r="H105" t="s">
        <v>602</v>
      </c>
      <c r="I105" t="str">
        <f>VLOOKUP(C105,Customers!A:B,2,FALSE)</f>
        <v>2023:11:30</v>
      </c>
      <c r="J105">
        <f>IFERROR(VLOOKUP($A105,Sheet3!$A:$E,2,FALSE),"")</f>
        <v>22</v>
      </c>
      <c r="K105" t="str">
        <f>IFERROR(VLOOKUP($A105,Sheet3!$A:$E,3,FALSE),"")</f>
        <v>8</v>
      </c>
      <c r="L105" t="str">
        <f>IFERROR(VLOOKUP($A105,Sheet3!$A:$E,4,FALSE),"")</f>
        <v>2024-05-21T14:39:56.000Z</v>
      </c>
      <c r="M105" t="str">
        <f>IFERROR(VLOOKUP($A105,Sheet3!$A:$E,5,FALSE),"")</f>
        <v>2025-10-18T06:51:51.000Z</v>
      </c>
      <c r="N105" s="4">
        <f t="shared" si="3"/>
        <v>173</v>
      </c>
      <c r="O105" t="s">
        <v>2809</v>
      </c>
    </row>
    <row r="106" spans="1:15" x14ac:dyDescent="0.25">
      <c r="A106" t="s">
        <v>603</v>
      </c>
      <c r="B106" t="s">
        <v>318</v>
      </c>
      <c r="C106" t="s">
        <v>29</v>
      </c>
      <c r="D106" t="s">
        <v>319</v>
      </c>
      <c r="E106" t="s">
        <v>320</v>
      </c>
      <c r="F106" t="s">
        <v>604</v>
      </c>
      <c r="G106" s="4">
        <f t="shared" si="2"/>
        <v>750.4666666666667</v>
      </c>
      <c r="H106" t="s">
        <v>605</v>
      </c>
      <c r="I106" t="str">
        <f>VLOOKUP(C106,Customers!A:B,2,FALSE)</f>
        <v>2023:11:30</v>
      </c>
      <c r="J106">
        <f>IFERROR(VLOOKUP($A106,Sheet3!$A:$E,2,FALSE),"")</f>
        <v>33</v>
      </c>
      <c r="K106" t="str">
        <f>IFERROR(VLOOKUP($A106,Sheet3!$A:$E,3,FALSE),"")</f>
        <v>12</v>
      </c>
      <c r="L106" t="str">
        <f>IFERROR(VLOOKUP($A106,Sheet3!$A:$E,4,FALSE),"")</f>
        <v>2024-07-20T04:30:01.000Z</v>
      </c>
      <c r="M106" t="str">
        <f>IFERROR(VLOOKUP($A106,Sheet3!$A:$E,5,FALSE),"")</f>
        <v>2026-02-07T10:12:15.000Z</v>
      </c>
      <c r="N106" s="4">
        <f t="shared" si="3"/>
        <v>233</v>
      </c>
      <c r="O106" t="s">
        <v>2808</v>
      </c>
    </row>
    <row r="107" spans="1:15" x14ac:dyDescent="0.25">
      <c r="A107" t="s">
        <v>606</v>
      </c>
      <c r="B107" t="s">
        <v>318</v>
      </c>
      <c r="C107" t="s">
        <v>29</v>
      </c>
      <c r="D107" t="s">
        <v>319</v>
      </c>
      <c r="E107" t="s">
        <v>320</v>
      </c>
      <c r="F107" t="s">
        <v>607</v>
      </c>
      <c r="G107" s="4">
        <f t="shared" si="2"/>
        <v>1283.1333333333334</v>
      </c>
      <c r="H107" t="s">
        <v>608</v>
      </c>
      <c r="I107" t="str">
        <f>VLOOKUP(C107,Customers!A:B,2,FALSE)</f>
        <v>2023:11:30</v>
      </c>
      <c r="J107">
        <f>IFERROR(VLOOKUP($A107,Sheet3!$A:$E,2,FALSE),"")</f>
        <v>11</v>
      </c>
      <c r="K107" t="str">
        <f>IFERROR(VLOOKUP($A107,Sheet3!$A:$E,3,FALSE),"")</f>
        <v>0</v>
      </c>
      <c r="L107" t="str">
        <f>IFERROR(VLOOKUP($A107,Sheet3!$A:$E,4,FALSE),"")</f>
        <v>2024-05-01T05:13:18.000Z</v>
      </c>
      <c r="M107" t="str">
        <f>IFERROR(VLOOKUP($A107,Sheet3!$A:$E,5,FALSE),"")</f>
        <v>2025-06-19T03:04:19.000Z</v>
      </c>
      <c r="N107" s="4">
        <f t="shared" si="3"/>
        <v>153</v>
      </c>
      <c r="O107" t="s">
        <v>2809</v>
      </c>
    </row>
    <row r="108" spans="1:15" x14ac:dyDescent="0.25">
      <c r="A108" t="s">
        <v>609</v>
      </c>
      <c r="B108" t="s">
        <v>318</v>
      </c>
      <c r="C108" t="s">
        <v>29</v>
      </c>
      <c r="D108" t="s">
        <v>319</v>
      </c>
      <c r="E108" t="s">
        <v>320</v>
      </c>
      <c r="F108" t="s">
        <v>610</v>
      </c>
      <c r="G108" s="4">
        <f t="shared" si="2"/>
        <v>122.68333333333334</v>
      </c>
      <c r="H108" t="s">
        <v>611</v>
      </c>
      <c r="I108" t="str">
        <f>VLOOKUP(C108,Customers!A:B,2,FALSE)</f>
        <v>2023:11:30</v>
      </c>
      <c r="J108">
        <f>IFERROR(VLOOKUP($A108,Sheet3!$A:$E,2,FALSE),"")</f>
        <v>28</v>
      </c>
      <c r="K108" t="str">
        <f>IFERROR(VLOOKUP($A108,Sheet3!$A:$E,3,FALSE),"")</f>
        <v>18</v>
      </c>
      <c r="L108" t="str">
        <f>IFERROR(VLOOKUP($A108,Sheet3!$A:$E,4,FALSE),"")</f>
        <v>2024-05-10T05:25:44.000Z</v>
      </c>
      <c r="M108" t="str">
        <f>IFERROR(VLOOKUP($A108,Sheet3!$A:$E,5,FALSE),"")</f>
        <v>2026-02-09T09:13:04.000Z</v>
      </c>
      <c r="N108" s="4">
        <f t="shared" si="3"/>
        <v>162</v>
      </c>
      <c r="O108" t="s">
        <v>2808</v>
      </c>
    </row>
    <row r="109" spans="1:15" x14ac:dyDescent="0.25">
      <c r="A109" t="s">
        <v>612</v>
      </c>
      <c r="B109" t="s">
        <v>318</v>
      </c>
      <c r="C109" t="s">
        <v>29</v>
      </c>
      <c r="D109" t="s">
        <v>319</v>
      </c>
      <c r="E109" t="s">
        <v>320</v>
      </c>
      <c r="F109" t="s">
        <v>613</v>
      </c>
      <c r="G109" s="4">
        <f t="shared" si="2"/>
        <v>790.2166666666667</v>
      </c>
      <c r="H109" t="s">
        <v>614</v>
      </c>
      <c r="I109" t="str">
        <f>VLOOKUP(C109,Customers!A:B,2,FALSE)</f>
        <v>2023:11:30</v>
      </c>
      <c r="J109">
        <f>IFERROR(VLOOKUP($A109,Sheet3!$A:$E,2,FALSE),"")</f>
        <v>16</v>
      </c>
      <c r="K109" t="str">
        <f>IFERROR(VLOOKUP($A109,Sheet3!$A:$E,3,FALSE),"")</f>
        <v>12</v>
      </c>
      <c r="L109" t="str">
        <f>IFERROR(VLOOKUP($A109,Sheet3!$A:$E,4,FALSE),"")</f>
        <v>2024-05-20T08:11:13.000Z</v>
      </c>
      <c r="M109" t="str">
        <f>IFERROR(VLOOKUP($A109,Sheet3!$A:$E,5,FALSE),"")</f>
        <v>2026-02-12T08:06:57.000Z</v>
      </c>
      <c r="N109" s="4">
        <f t="shared" si="3"/>
        <v>172</v>
      </c>
      <c r="O109" t="s">
        <v>2809</v>
      </c>
    </row>
    <row r="110" spans="1:15" x14ac:dyDescent="0.25">
      <c r="A110" t="s">
        <v>615</v>
      </c>
      <c r="B110" t="s">
        <v>318</v>
      </c>
      <c r="C110" t="s">
        <v>29</v>
      </c>
      <c r="D110" t="s">
        <v>319</v>
      </c>
      <c r="E110" t="s">
        <v>320</v>
      </c>
      <c r="F110" t="s">
        <v>616</v>
      </c>
      <c r="G110" s="4">
        <f t="shared" si="2"/>
        <v>886.0333333333333</v>
      </c>
      <c r="H110" t="s">
        <v>617</v>
      </c>
      <c r="I110" t="str">
        <f>VLOOKUP(C110,Customers!A:B,2,FALSE)</f>
        <v>2023:11:30</v>
      </c>
      <c r="J110">
        <f>IFERROR(VLOOKUP($A110,Sheet3!$A:$E,2,FALSE),"")</f>
        <v>19</v>
      </c>
      <c r="K110" t="str">
        <f>IFERROR(VLOOKUP($A110,Sheet3!$A:$E,3,FALSE),"")</f>
        <v>5</v>
      </c>
      <c r="L110" t="str">
        <f>IFERROR(VLOOKUP($A110,Sheet3!$A:$E,4,FALSE),"")</f>
        <v>2024-04-27T06:40:32.000Z</v>
      </c>
      <c r="M110" t="str">
        <f>IFERROR(VLOOKUP($A110,Sheet3!$A:$E,5,FALSE),"")</f>
        <v>2025-07-14T09:57:46.000Z</v>
      </c>
      <c r="N110" s="4">
        <f t="shared" si="3"/>
        <v>149</v>
      </c>
      <c r="O110" t="s">
        <v>2808</v>
      </c>
    </row>
    <row r="111" spans="1:15" x14ac:dyDescent="0.25">
      <c r="A111" t="s">
        <v>618</v>
      </c>
      <c r="B111" t="s">
        <v>318</v>
      </c>
      <c r="C111" t="s">
        <v>29</v>
      </c>
      <c r="D111" t="s">
        <v>319</v>
      </c>
      <c r="E111" t="s">
        <v>320</v>
      </c>
      <c r="F111" t="s">
        <v>619</v>
      </c>
      <c r="G111" s="4">
        <f t="shared" si="2"/>
        <v>646</v>
      </c>
      <c r="H111" t="s">
        <v>620</v>
      </c>
      <c r="I111" t="str">
        <f>VLOOKUP(C111,Customers!A:B,2,FALSE)</f>
        <v>2023:11:30</v>
      </c>
      <c r="J111">
        <f>IFERROR(VLOOKUP($A111,Sheet3!$A:$E,2,FALSE),"")</f>
        <v>19</v>
      </c>
      <c r="K111" t="str">
        <f>IFERROR(VLOOKUP($A111,Sheet3!$A:$E,3,FALSE),"")</f>
        <v>3</v>
      </c>
      <c r="L111" t="str">
        <f>IFERROR(VLOOKUP($A111,Sheet3!$A:$E,4,FALSE),"")</f>
        <v>2024-04-30T08:29:44.000Z</v>
      </c>
      <c r="M111" t="str">
        <f>IFERROR(VLOOKUP($A111,Sheet3!$A:$E,5,FALSE),"")</f>
        <v>2025-10-30T05:15:18.000Z</v>
      </c>
      <c r="N111" s="4">
        <f t="shared" si="3"/>
        <v>152</v>
      </c>
      <c r="O111" t="s">
        <v>2809</v>
      </c>
    </row>
    <row r="112" spans="1:15" x14ac:dyDescent="0.25">
      <c r="A112" t="s">
        <v>621</v>
      </c>
      <c r="B112" t="s">
        <v>318</v>
      </c>
      <c r="C112" t="s">
        <v>29</v>
      </c>
      <c r="D112" t="s">
        <v>319</v>
      </c>
      <c r="E112" t="s">
        <v>320</v>
      </c>
      <c r="F112" t="s">
        <v>622</v>
      </c>
      <c r="G112" s="4">
        <f t="shared" si="2"/>
        <v>1215.5166666666667</v>
      </c>
      <c r="H112" t="s">
        <v>623</v>
      </c>
      <c r="I112" t="str">
        <f>VLOOKUP(C112,Customers!A:B,2,FALSE)</f>
        <v>2023:11:30</v>
      </c>
      <c r="J112">
        <f>IFERROR(VLOOKUP($A112,Sheet3!$A:$E,2,FALSE),"")</f>
        <v>33</v>
      </c>
      <c r="K112" t="str">
        <f>IFERROR(VLOOKUP($A112,Sheet3!$A:$E,3,FALSE),"")</f>
        <v>7</v>
      </c>
      <c r="L112" t="str">
        <f>IFERROR(VLOOKUP($A112,Sheet3!$A:$E,4,FALSE),"")</f>
        <v>2024-05-25T12:06:38.000Z</v>
      </c>
      <c r="M112" t="str">
        <f>IFERROR(VLOOKUP($A112,Sheet3!$A:$E,5,FALSE),"")</f>
        <v>2025-12-09T08:15:15.000Z</v>
      </c>
      <c r="N112" s="4">
        <f t="shared" si="3"/>
        <v>177</v>
      </c>
      <c r="O112" t="s">
        <v>2808</v>
      </c>
    </row>
    <row r="113" spans="1:15" x14ac:dyDescent="0.25">
      <c r="A113" t="s">
        <v>624</v>
      </c>
      <c r="B113" t="s">
        <v>318</v>
      </c>
      <c r="C113" t="s">
        <v>29</v>
      </c>
      <c r="D113" t="s">
        <v>319</v>
      </c>
      <c r="E113" t="s">
        <v>320</v>
      </c>
      <c r="F113" t="s">
        <v>625</v>
      </c>
      <c r="G113" s="4">
        <f t="shared" si="2"/>
        <v>196.31666666666666</v>
      </c>
      <c r="H113" t="s">
        <v>626</v>
      </c>
      <c r="I113" t="str">
        <f>VLOOKUP(C113,Customers!A:B,2,FALSE)</f>
        <v>2023:11:30</v>
      </c>
      <c r="J113">
        <f>IFERROR(VLOOKUP($A113,Sheet3!$A:$E,2,FALSE),"")</f>
        <v>26</v>
      </c>
      <c r="K113" t="str">
        <f>IFERROR(VLOOKUP($A113,Sheet3!$A:$E,3,FALSE),"")</f>
        <v>9</v>
      </c>
      <c r="L113" t="str">
        <f>IFERROR(VLOOKUP($A113,Sheet3!$A:$E,4,FALSE),"")</f>
        <v>2024-05-23T06:58:47.000Z</v>
      </c>
      <c r="M113" t="str">
        <f>IFERROR(VLOOKUP($A113,Sheet3!$A:$E,5,FALSE),"")</f>
        <v>2025-12-16T07:42:24.000Z</v>
      </c>
      <c r="N113" s="4">
        <f t="shared" si="3"/>
        <v>175</v>
      </c>
      <c r="O113" t="s">
        <v>2809</v>
      </c>
    </row>
    <row r="114" spans="1:15" x14ac:dyDescent="0.25">
      <c r="A114" t="s">
        <v>627</v>
      </c>
      <c r="B114" t="s">
        <v>318</v>
      </c>
      <c r="C114" t="s">
        <v>35</v>
      </c>
      <c r="D114" t="s">
        <v>443</v>
      </c>
      <c r="E114" t="s">
        <v>444</v>
      </c>
      <c r="F114" t="s">
        <v>628</v>
      </c>
      <c r="G114" s="4">
        <f t="shared" si="2"/>
        <v>503.18333333333334</v>
      </c>
      <c r="H114" t="s">
        <v>629</v>
      </c>
      <c r="I114" t="str">
        <f>VLOOKUP(C114,Customers!A:B,2,FALSE)</f>
        <v>2024:01:06</v>
      </c>
      <c r="J114">
        <f>IFERROR(VLOOKUP($A114,Sheet3!$A:$E,2,FALSE),"")</f>
        <v>14</v>
      </c>
      <c r="K114" t="str">
        <f>IFERROR(VLOOKUP($A114,Sheet3!$A:$E,3,FALSE),"")</f>
        <v>0</v>
      </c>
      <c r="L114" t="str">
        <f>IFERROR(VLOOKUP($A114,Sheet3!$A:$E,4,FALSE),"")</f>
        <v>2024-04-18T11:23:33.000Z</v>
      </c>
      <c r="M114" t="str">
        <f>IFERROR(VLOOKUP($A114,Sheet3!$A:$E,5,FALSE),"")</f>
        <v>2024-08-23T05:43:00.000Z</v>
      </c>
      <c r="N114" s="4">
        <f t="shared" si="3"/>
        <v>103</v>
      </c>
      <c r="O114" t="s">
        <v>2808</v>
      </c>
    </row>
    <row r="115" spans="1:15" x14ac:dyDescent="0.25">
      <c r="A115" t="s">
        <v>630</v>
      </c>
      <c r="B115" t="s">
        <v>318</v>
      </c>
      <c r="C115" t="s">
        <v>29</v>
      </c>
      <c r="D115" t="s">
        <v>319</v>
      </c>
      <c r="E115" t="s">
        <v>320</v>
      </c>
      <c r="F115" t="s">
        <v>631</v>
      </c>
      <c r="G115" s="4">
        <f t="shared" si="2"/>
        <v>374.7</v>
      </c>
      <c r="H115" t="s">
        <v>632</v>
      </c>
      <c r="I115" t="str">
        <f>VLOOKUP(C115,Customers!A:B,2,FALSE)</f>
        <v>2023:11:30</v>
      </c>
      <c r="J115">
        <f>IFERROR(VLOOKUP($A115,Sheet3!$A:$E,2,FALSE),"")</f>
        <v>22</v>
      </c>
      <c r="K115" t="str">
        <f>IFERROR(VLOOKUP($A115,Sheet3!$A:$E,3,FALSE),"")</f>
        <v>6</v>
      </c>
      <c r="L115" t="str">
        <f>IFERROR(VLOOKUP($A115,Sheet3!$A:$E,4,FALSE),"")</f>
        <v>2024-04-27T11:23:50.000Z</v>
      </c>
      <c r="M115" t="str">
        <f>IFERROR(VLOOKUP($A115,Sheet3!$A:$E,5,FALSE),"")</f>
        <v>2025-11-10T06:14:47.000Z</v>
      </c>
      <c r="N115" s="4">
        <f t="shared" si="3"/>
        <v>149</v>
      </c>
      <c r="O115" t="s">
        <v>2809</v>
      </c>
    </row>
    <row r="116" spans="1:15" x14ac:dyDescent="0.25">
      <c r="A116" t="s">
        <v>633</v>
      </c>
      <c r="B116" t="s">
        <v>318</v>
      </c>
      <c r="C116" t="s">
        <v>29</v>
      </c>
      <c r="D116" t="s">
        <v>319</v>
      </c>
      <c r="E116" t="s">
        <v>320</v>
      </c>
      <c r="F116" t="s">
        <v>634</v>
      </c>
      <c r="G116" s="4">
        <f t="shared" si="2"/>
        <v>1240.3333333333333</v>
      </c>
      <c r="H116" t="s">
        <v>635</v>
      </c>
      <c r="I116" t="str">
        <f>VLOOKUP(C116,Customers!A:B,2,FALSE)</f>
        <v>2023:11:30</v>
      </c>
      <c r="J116">
        <f>IFERROR(VLOOKUP($A116,Sheet3!$A:$E,2,FALSE),"")</f>
        <v>38</v>
      </c>
      <c r="K116" t="str">
        <f>IFERROR(VLOOKUP($A116,Sheet3!$A:$E,3,FALSE),"")</f>
        <v>15</v>
      </c>
      <c r="L116" t="str">
        <f>IFERROR(VLOOKUP($A116,Sheet3!$A:$E,4,FALSE),"")</f>
        <v>2024-05-16T04:46:39.000Z</v>
      </c>
      <c r="M116" t="str">
        <f>IFERROR(VLOOKUP($A116,Sheet3!$A:$E,5,FALSE),"")</f>
        <v>2025-12-27T10:46:13.000Z</v>
      </c>
      <c r="N116" s="4">
        <f t="shared" si="3"/>
        <v>168</v>
      </c>
      <c r="O116" t="s">
        <v>2808</v>
      </c>
    </row>
    <row r="117" spans="1:15" x14ac:dyDescent="0.25">
      <c r="A117" t="s">
        <v>636</v>
      </c>
      <c r="B117" t="s">
        <v>318</v>
      </c>
      <c r="C117" t="s">
        <v>46</v>
      </c>
      <c r="D117" t="s">
        <v>637</v>
      </c>
      <c r="E117" t="s">
        <v>638</v>
      </c>
      <c r="F117" t="s">
        <v>639</v>
      </c>
      <c r="G117" s="4">
        <f t="shared" si="2"/>
        <v>59.533333333333331</v>
      </c>
      <c r="H117" t="s">
        <v>640</v>
      </c>
      <c r="I117" t="str">
        <f>VLOOKUP(C117,Customers!A:B,2,FALSE)</f>
        <v>2024:06:28</v>
      </c>
      <c r="J117">
        <f>IFERROR(VLOOKUP($A117,Sheet3!$A:$E,2,FALSE),"")</f>
        <v>1</v>
      </c>
      <c r="K117" t="str">
        <f>IFERROR(VLOOKUP($A117,Sheet3!$A:$E,3,FALSE),"")</f>
        <v>0</v>
      </c>
      <c r="L117" t="str">
        <f>IFERROR(VLOOKUP($A117,Sheet3!$A:$E,4,FALSE),"")</f>
        <v>2024-05-19T16:20:34.000Z</v>
      </c>
      <c r="M117" t="str">
        <f>IFERROR(VLOOKUP($A117,Sheet3!$A:$E,5,FALSE),"")</f>
        <v>2024-05-19T16:20:34.000Z</v>
      </c>
      <c r="N117" s="4">
        <f t="shared" si="3"/>
        <v>-40</v>
      </c>
      <c r="O117" t="s">
        <v>2809</v>
      </c>
    </row>
    <row r="118" spans="1:15" x14ac:dyDescent="0.25">
      <c r="A118" t="s">
        <v>641</v>
      </c>
      <c r="B118" t="s">
        <v>318</v>
      </c>
      <c r="C118" t="s">
        <v>29</v>
      </c>
      <c r="D118" t="s">
        <v>319</v>
      </c>
      <c r="E118" t="s">
        <v>320</v>
      </c>
      <c r="F118" t="s">
        <v>642</v>
      </c>
      <c r="G118" s="4">
        <f t="shared" si="2"/>
        <v>1429.5333333333333</v>
      </c>
      <c r="H118" t="s">
        <v>643</v>
      </c>
      <c r="I118" t="str">
        <f>VLOOKUP(C118,Customers!A:B,2,FALSE)</f>
        <v>2023:11:30</v>
      </c>
      <c r="J118">
        <f>IFERROR(VLOOKUP($A118,Sheet3!$A:$E,2,FALSE),"")</f>
        <v>71</v>
      </c>
      <c r="K118" t="str">
        <f>IFERROR(VLOOKUP($A118,Sheet3!$A:$E,3,FALSE),"")</f>
        <v>17</v>
      </c>
      <c r="L118" t="str">
        <f>IFERROR(VLOOKUP($A118,Sheet3!$A:$E,4,FALSE),"")</f>
        <v>2024-05-21T04:28:54.000Z</v>
      </c>
      <c r="M118" t="str">
        <f>IFERROR(VLOOKUP($A118,Sheet3!$A:$E,5,FALSE),"")</f>
        <v>2026-01-31T08:20:56.000Z</v>
      </c>
      <c r="N118" s="4">
        <f t="shared" si="3"/>
        <v>173</v>
      </c>
      <c r="O118" t="s">
        <v>2808</v>
      </c>
    </row>
    <row r="119" spans="1:15" x14ac:dyDescent="0.25">
      <c r="A119" t="s">
        <v>644</v>
      </c>
      <c r="B119" t="s">
        <v>318</v>
      </c>
      <c r="C119" t="s">
        <v>29</v>
      </c>
      <c r="D119" t="s">
        <v>319</v>
      </c>
      <c r="E119" t="s">
        <v>320</v>
      </c>
      <c r="F119" t="s">
        <v>645</v>
      </c>
      <c r="G119" s="4">
        <f t="shared" si="2"/>
        <v>136.81666666666666</v>
      </c>
      <c r="H119" t="s">
        <v>646</v>
      </c>
      <c r="I119" t="str">
        <f>VLOOKUP(C119,Customers!A:B,2,FALSE)</f>
        <v>2023:11:30</v>
      </c>
      <c r="J119">
        <f>IFERROR(VLOOKUP($A119,Sheet3!$A:$E,2,FALSE),"")</f>
        <v>21</v>
      </c>
      <c r="K119" t="str">
        <f>IFERROR(VLOOKUP($A119,Sheet3!$A:$E,3,FALSE),"")</f>
        <v>6</v>
      </c>
      <c r="L119" t="str">
        <f>IFERROR(VLOOKUP($A119,Sheet3!$A:$E,4,FALSE),"")</f>
        <v>2024-06-24T10:54:38.000Z</v>
      </c>
      <c r="M119" t="str">
        <f>IFERROR(VLOOKUP($A119,Sheet3!$A:$E,5,FALSE),"")</f>
        <v>2025-12-06T09:17:48.000Z</v>
      </c>
      <c r="N119" s="4">
        <f t="shared" si="3"/>
        <v>207</v>
      </c>
      <c r="O119" t="s">
        <v>2809</v>
      </c>
    </row>
    <row r="120" spans="1:15" x14ac:dyDescent="0.25">
      <c r="A120" t="s">
        <v>647</v>
      </c>
      <c r="B120" t="s">
        <v>318</v>
      </c>
      <c r="C120" t="s">
        <v>46</v>
      </c>
      <c r="D120" t="s">
        <v>637</v>
      </c>
      <c r="E120" t="s">
        <v>638</v>
      </c>
      <c r="F120" t="s">
        <v>648</v>
      </c>
      <c r="G120" s="4">
        <f t="shared" si="2"/>
        <v>22.983333333333334</v>
      </c>
      <c r="H120" t="s">
        <v>649</v>
      </c>
      <c r="I120" t="str">
        <f>VLOOKUP(C120,Customers!A:B,2,FALSE)</f>
        <v>2024:06:28</v>
      </c>
      <c r="J120">
        <f>IFERROR(VLOOKUP($A120,Sheet3!$A:$E,2,FALSE),"")</f>
        <v>2</v>
      </c>
      <c r="K120" t="str">
        <f>IFERROR(VLOOKUP($A120,Sheet3!$A:$E,3,FALSE),"")</f>
        <v>0</v>
      </c>
      <c r="L120" t="str">
        <f>IFERROR(VLOOKUP($A120,Sheet3!$A:$E,4,FALSE),"")</f>
        <v>2024-05-19T16:18:50.000Z</v>
      </c>
      <c r="M120" t="str">
        <f>IFERROR(VLOOKUP($A120,Sheet3!$A:$E,5,FALSE),"")</f>
        <v>2024-06-08T10:22:38.000Z</v>
      </c>
      <c r="N120" s="4">
        <f t="shared" si="3"/>
        <v>-40</v>
      </c>
      <c r="O120" t="s">
        <v>2808</v>
      </c>
    </row>
    <row r="121" spans="1:15" x14ac:dyDescent="0.25">
      <c r="A121" t="s">
        <v>650</v>
      </c>
      <c r="B121" t="s">
        <v>318</v>
      </c>
      <c r="C121" t="s">
        <v>29</v>
      </c>
      <c r="D121" t="s">
        <v>319</v>
      </c>
      <c r="E121" t="s">
        <v>320</v>
      </c>
      <c r="F121" t="s">
        <v>651</v>
      </c>
      <c r="G121" s="4">
        <f t="shared" si="2"/>
        <v>199.76666666666668</v>
      </c>
      <c r="H121" t="s">
        <v>652</v>
      </c>
      <c r="I121" t="str">
        <f>VLOOKUP(C121,Customers!A:B,2,FALSE)</f>
        <v>2023:11:30</v>
      </c>
      <c r="J121">
        <f>IFERROR(VLOOKUP($A121,Sheet3!$A:$E,2,FALSE),"")</f>
        <v>53</v>
      </c>
      <c r="K121" t="str">
        <f>IFERROR(VLOOKUP($A121,Sheet3!$A:$E,3,FALSE),"")</f>
        <v>18</v>
      </c>
      <c r="L121" t="str">
        <f>IFERROR(VLOOKUP($A121,Sheet3!$A:$E,4,FALSE),"")</f>
        <v>2024-04-16T05:53:31.000Z</v>
      </c>
      <c r="M121" t="str">
        <f>IFERROR(VLOOKUP($A121,Sheet3!$A:$E,5,FALSE),"")</f>
        <v>2026-04-15T05:14:36.000Z</v>
      </c>
      <c r="N121" s="4">
        <f t="shared" si="3"/>
        <v>138</v>
      </c>
      <c r="O121" t="s">
        <v>2809</v>
      </c>
    </row>
    <row r="122" spans="1:15" x14ac:dyDescent="0.25">
      <c r="A122" t="s">
        <v>653</v>
      </c>
      <c r="B122" t="s">
        <v>318</v>
      </c>
      <c r="C122" t="s">
        <v>29</v>
      </c>
      <c r="D122" t="s">
        <v>319</v>
      </c>
      <c r="E122" t="s">
        <v>320</v>
      </c>
      <c r="F122" t="s">
        <v>654</v>
      </c>
      <c r="G122" s="4">
        <f t="shared" si="2"/>
        <v>774.7833333333333</v>
      </c>
      <c r="H122" t="s">
        <v>655</v>
      </c>
      <c r="I122" t="str">
        <f>VLOOKUP(C122,Customers!A:B,2,FALSE)</f>
        <v>2023:11:30</v>
      </c>
      <c r="J122">
        <f>IFERROR(VLOOKUP($A122,Sheet3!$A:$E,2,FALSE),"")</f>
        <v>39</v>
      </c>
      <c r="K122" t="str">
        <f>IFERROR(VLOOKUP($A122,Sheet3!$A:$E,3,FALSE),"")</f>
        <v>19</v>
      </c>
      <c r="L122" t="str">
        <f>IFERROR(VLOOKUP($A122,Sheet3!$A:$E,4,FALSE),"")</f>
        <v>2024-05-20T04:51:42.000Z</v>
      </c>
      <c r="M122" t="str">
        <f>IFERROR(VLOOKUP($A122,Sheet3!$A:$E,5,FALSE),"")</f>
        <v>2025-12-15T09:37:33.000Z</v>
      </c>
      <c r="N122" s="4">
        <f t="shared" si="3"/>
        <v>172</v>
      </c>
      <c r="O122" t="s">
        <v>2808</v>
      </c>
    </row>
    <row r="123" spans="1:15" x14ac:dyDescent="0.25">
      <c r="A123" t="s">
        <v>656</v>
      </c>
      <c r="B123" t="s">
        <v>318</v>
      </c>
      <c r="C123" t="s">
        <v>29</v>
      </c>
      <c r="D123" t="s">
        <v>319</v>
      </c>
      <c r="E123" t="s">
        <v>320</v>
      </c>
      <c r="F123" t="s">
        <v>657</v>
      </c>
      <c r="G123" s="4">
        <f t="shared" si="2"/>
        <v>3.8666666666666667</v>
      </c>
      <c r="H123" t="s">
        <v>658</v>
      </c>
      <c r="I123" t="str">
        <f>VLOOKUP(C123,Customers!A:B,2,FALSE)</f>
        <v>2023:11:30</v>
      </c>
      <c r="J123">
        <f>IFERROR(VLOOKUP($A123,Sheet3!$A:$E,2,FALSE),"")</f>
        <v>32</v>
      </c>
      <c r="K123" t="str">
        <f>IFERROR(VLOOKUP($A123,Sheet3!$A:$E,3,FALSE),"")</f>
        <v>7</v>
      </c>
      <c r="L123" t="str">
        <f>IFERROR(VLOOKUP($A123,Sheet3!$A:$E,4,FALSE),"")</f>
        <v>2024-06-14T09:12:37.000Z</v>
      </c>
      <c r="M123" t="str">
        <f>IFERROR(VLOOKUP($A123,Sheet3!$A:$E,5,FALSE),"")</f>
        <v>2026-02-10T05:25:21.000Z</v>
      </c>
      <c r="N123" s="4">
        <f t="shared" si="3"/>
        <v>197</v>
      </c>
      <c r="O123" t="s">
        <v>2809</v>
      </c>
    </row>
    <row r="124" spans="1:15" x14ac:dyDescent="0.25">
      <c r="A124" t="s">
        <v>659</v>
      </c>
      <c r="B124" t="s">
        <v>318</v>
      </c>
      <c r="C124" t="s">
        <v>29</v>
      </c>
      <c r="D124" t="s">
        <v>319</v>
      </c>
      <c r="E124" t="s">
        <v>320</v>
      </c>
      <c r="F124" t="s">
        <v>660</v>
      </c>
      <c r="G124" s="4">
        <f t="shared" si="2"/>
        <v>426.16666666666669</v>
      </c>
      <c r="H124" t="s">
        <v>661</v>
      </c>
      <c r="I124" t="str">
        <f>VLOOKUP(C124,Customers!A:B,2,FALSE)</f>
        <v>2023:11:30</v>
      </c>
      <c r="J124">
        <f>IFERROR(VLOOKUP($A124,Sheet3!$A:$E,2,FALSE),"")</f>
        <v>45</v>
      </c>
      <c r="K124" t="str">
        <f>IFERROR(VLOOKUP($A124,Sheet3!$A:$E,3,FALSE),"")</f>
        <v>7</v>
      </c>
      <c r="L124" t="str">
        <f>IFERROR(VLOOKUP($A124,Sheet3!$A:$E,4,FALSE),"")</f>
        <v>2024-07-03T05:05:27.000Z</v>
      </c>
      <c r="M124" t="str">
        <f>IFERROR(VLOOKUP($A124,Sheet3!$A:$E,5,FALSE),"")</f>
        <v>2026-02-19T14:19:43.000Z</v>
      </c>
      <c r="N124" s="4">
        <f t="shared" si="3"/>
        <v>216</v>
      </c>
      <c r="O124" t="s">
        <v>2808</v>
      </c>
    </row>
    <row r="125" spans="1:15" x14ac:dyDescent="0.25">
      <c r="A125" t="s">
        <v>662</v>
      </c>
      <c r="B125" t="s">
        <v>318</v>
      </c>
      <c r="C125" t="s">
        <v>29</v>
      </c>
      <c r="D125" t="s">
        <v>319</v>
      </c>
      <c r="E125" t="s">
        <v>320</v>
      </c>
      <c r="F125" t="s">
        <v>663</v>
      </c>
      <c r="G125" s="4">
        <f t="shared" si="2"/>
        <v>1095.7833333333333</v>
      </c>
      <c r="H125" t="s">
        <v>664</v>
      </c>
      <c r="I125" t="str">
        <f>VLOOKUP(C125,Customers!A:B,2,FALSE)</f>
        <v>2023:11:30</v>
      </c>
      <c r="J125">
        <f>IFERROR(VLOOKUP($A125,Sheet3!$A:$E,2,FALSE),"")</f>
        <v>12</v>
      </c>
      <c r="K125" t="str">
        <f>IFERROR(VLOOKUP($A125,Sheet3!$A:$E,3,FALSE),"")</f>
        <v>3</v>
      </c>
      <c r="L125" t="str">
        <f>IFERROR(VLOOKUP($A125,Sheet3!$A:$E,4,FALSE),"")</f>
        <v>2024-05-07T03:30:28.000Z</v>
      </c>
      <c r="M125" t="str">
        <f>IFERROR(VLOOKUP($A125,Sheet3!$A:$E,5,FALSE),"")</f>
        <v>2026-01-15T13:11:48.000Z</v>
      </c>
      <c r="N125" s="4">
        <f t="shared" si="3"/>
        <v>159</v>
      </c>
      <c r="O125" t="s">
        <v>2809</v>
      </c>
    </row>
    <row r="126" spans="1:15" x14ac:dyDescent="0.25">
      <c r="A126" t="s">
        <v>665</v>
      </c>
      <c r="B126" t="s">
        <v>318</v>
      </c>
      <c r="C126" t="s">
        <v>29</v>
      </c>
      <c r="D126" t="s">
        <v>319</v>
      </c>
      <c r="E126" t="s">
        <v>320</v>
      </c>
      <c r="F126" t="s">
        <v>666</v>
      </c>
      <c r="G126" s="4">
        <f t="shared" si="2"/>
        <v>928.68333333333328</v>
      </c>
      <c r="H126" t="s">
        <v>667</v>
      </c>
      <c r="I126" t="str">
        <f>VLOOKUP(C126,Customers!A:B,2,FALSE)</f>
        <v>2023:11:30</v>
      </c>
      <c r="J126">
        <f>IFERROR(VLOOKUP($A126,Sheet3!$A:$E,2,FALSE),"")</f>
        <v>37</v>
      </c>
      <c r="K126" t="str">
        <f>IFERROR(VLOOKUP($A126,Sheet3!$A:$E,3,FALSE),"")</f>
        <v>7</v>
      </c>
      <c r="L126" t="str">
        <f>IFERROR(VLOOKUP($A126,Sheet3!$A:$E,4,FALSE),"")</f>
        <v>2024-05-14T12:41:49.000Z</v>
      </c>
      <c r="M126" t="str">
        <f>IFERROR(VLOOKUP($A126,Sheet3!$A:$E,5,FALSE),"")</f>
        <v>2025-12-26T04:31:39.000Z</v>
      </c>
      <c r="N126" s="4">
        <f t="shared" si="3"/>
        <v>166</v>
      </c>
      <c r="O126" t="s">
        <v>2808</v>
      </c>
    </row>
    <row r="127" spans="1:15" x14ac:dyDescent="0.25">
      <c r="A127" t="s">
        <v>668</v>
      </c>
      <c r="B127" t="s">
        <v>318</v>
      </c>
      <c r="C127" t="s">
        <v>29</v>
      </c>
      <c r="D127" t="s">
        <v>319</v>
      </c>
      <c r="E127" t="s">
        <v>320</v>
      </c>
      <c r="F127" t="s">
        <v>669</v>
      </c>
      <c r="G127" s="4">
        <f t="shared" si="2"/>
        <v>110.93333333333334</v>
      </c>
      <c r="H127" t="s">
        <v>670</v>
      </c>
      <c r="I127" t="str">
        <f>VLOOKUP(C127,Customers!A:B,2,FALSE)</f>
        <v>2023:11:30</v>
      </c>
      <c r="J127">
        <f>IFERROR(VLOOKUP($A127,Sheet3!$A:$E,2,FALSE),"")</f>
        <v>25</v>
      </c>
      <c r="K127" t="str">
        <f>IFERROR(VLOOKUP($A127,Sheet3!$A:$E,3,FALSE),"")</f>
        <v>2</v>
      </c>
      <c r="L127" t="str">
        <f>IFERROR(VLOOKUP($A127,Sheet3!$A:$E,4,FALSE),"")</f>
        <v>2024-07-03T07:13:08.000Z</v>
      </c>
      <c r="M127" t="str">
        <f>IFERROR(VLOOKUP($A127,Sheet3!$A:$E,5,FALSE),"")</f>
        <v>2026-02-18T07:08:38.000Z</v>
      </c>
      <c r="N127" s="4">
        <f t="shared" si="3"/>
        <v>216</v>
      </c>
      <c r="O127" t="s">
        <v>2809</v>
      </c>
    </row>
    <row r="128" spans="1:15" x14ac:dyDescent="0.25">
      <c r="A128" t="s">
        <v>671</v>
      </c>
      <c r="B128" t="s">
        <v>318</v>
      </c>
      <c r="C128" t="s">
        <v>29</v>
      </c>
      <c r="D128" t="s">
        <v>319</v>
      </c>
      <c r="E128" t="s">
        <v>320</v>
      </c>
      <c r="F128" t="s">
        <v>672</v>
      </c>
      <c r="G128" s="4">
        <f t="shared" si="2"/>
        <v>482.86666666666667</v>
      </c>
      <c r="H128" t="s">
        <v>673</v>
      </c>
      <c r="I128" t="str">
        <f>VLOOKUP(C128,Customers!A:B,2,FALSE)</f>
        <v>2023:11:30</v>
      </c>
      <c r="J128">
        <f>IFERROR(VLOOKUP($A128,Sheet3!$A:$E,2,FALSE),"")</f>
        <v>4</v>
      </c>
      <c r="K128" t="str">
        <f>IFERROR(VLOOKUP($A128,Sheet3!$A:$E,3,FALSE),"")</f>
        <v>0</v>
      </c>
      <c r="L128" t="str">
        <f>IFERROR(VLOOKUP($A128,Sheet3!$A:$E,4,FALSE),"")</f>
        <v>2024-05-13T14:51:08.000Z</v>
      </c>
      <c r="M128" t="str">
        <f>IFERROR(VLOOKUP($A128,Sheet3!$A:$E,5,FALSE),"")</f>
        <v>2024-10-01T05:11:35.000Z</v>
      </c>
      <c r="N128" s="4">
        <f t="shared" si="3"/>
        <v>165</v>
      </c>
      <c r="O128" t="s">
        <v>2808</v>
      </c>
    </row>
    <row r="129" spans="1:15" x14ac:dyDescent="0.25">
      <c r="A129" t="s">
        <v>674</v>
      </c>
      <c r="B129" t="s">
        <v>318</v>
      </c>
      <c r="C129" t="s">
        <v>29</v>
      </c>
      <c r="D129" t="s">
        <v>319</v>
      </c>
      <c r="E129" t="s">
        <v>320</v>
      </c>
      <c r="F129" t="s">
        <v>675</v>
      </c>
      <c r="G129" s="4">
        <f t="shared" si="2"/>
        <v>303.01666666666665</v>
      </c>
      <c r="H129" t="s">
        <v>676</v>
      </c>
      <c r="I129" t="str">
        <f>VLOOKUP(C129,Customers!A:B,2,FALSE)</f>
        <v>2023:11:30</v>
      </c>
      <c r="J129">
        <f>IFERROR(VLOOKUP($A129,Sheet3!$A:$E,2,FALSE),"")</f>
        <v>3</v>
      </c>
      <c r="K129" t="str">
        <f>IFERROR(VLOOKUP($A129,Sheet3!$A:$E,3,FALSE),"")</f>
        <v>0</v>
      </c>
      <c r="L129" t="str">
        <f>IFERROR(VLOOKUP($A129,Sheet3!$A:$E,4,FALSE),"")</f>
        <v>2024-06-17T09:21:19.000Z</v>
      </c>
      <c r="M129" t="str">
        <f>IFERROR(VLOOKUP($A129,Sheet3!$A:$E,5,FALSE),"")</f>
        <v>2025-06-02T07:29:57.000Z</v>
      </c>
      <c r="N129" s="4">
        <f t="shared" si="3"/>
        <v>200</v>
      </c>
      <c r="O129" t="s">
        <v>2809</v>
      </c>
    </row>
    <row r="130" spans="1:15" x14ac:dyDescent="0.25">
      <c r="A130" t="s">
        <v>677</v>
      </c>
      <c r="B130" t="s">
        <v>318</v>
      </c>
      <c r="C130" t="s">
        <v>29</v>
      </c>
      <c r="D130" t="s">
        <v>319</v>
      </c>
      <c r="E130" t="s">
        <v>320</v>
      </c>
      <c r="F130" t="s">
        <v>678</v>
      </c>
      <c r="G130" s="4">
        <f t="shared" ref="G130:G193" si="4">IF(OR(F130="NULL",F130=""),"",(HOUR(F130)*60)+MINUTE(F130)+(SECOND(F130)/60))</f>
        <v>1009.5166666666667</v>
      </c>
      <c r="H130" t="s">
        <v>679</v>
      </c>
      <c r="I130" t="str">
        <f>VLOOKUP(C130,Customers!A:B,2,FALSE)</f>
        <v>2023:11:30</v>
      </c>
      <c r="J130">
        <f>IFERROR(VLOOKUP($A130,Sheet3!$A:$E,2,FALSE),"")</f>
        <v>16</v>
      </c>
      <c r="K130" t="str">
        <f>IFERROR(VLOOKUP($A130,Sheet3!$A:$E,3,FALSE),"")</f>
        <v>5</v>
      </c>
      <c r="L130" t="str">
        <f>IFERROR(VLOOKUP($A130,Sheet3!$A:$E,4,FALSE),"")</f>
        <v>2024-06-21T14:09:20.000Z</v>
      </c>
      <c r="M130" t="str">
        <f>IFERROR(VLOOKUP($A130,Sheet3!$A:$E,5,FALSE),"")</f>
        <v>2025-08-27T08:30:03.000Z</v>
      </c>
      <c r="N130" s="4">
        <f t="shared" si="3"/>
        <v>204</v>
      </c>
      <c r="O130" t="s">
        <v>2808</v>
      </c>
    </row>
    <row r="131" spans="1:15" x14ac:dyDescent="0.25">
      <c r="A131" t="s">
        <v>680</v>
      </c>
      <c r="B131" t="s">
        <v>318</v>
      </c>
      <c r="C131" t="s">
        <v>29</v>
      </c>
      <c r="D131" t="s">
        <v>319</v>
      </c>
      <c r="E131" t="s">
        <v>320</v>
      </c>
      <c r="F131" t="s">
        <v>681</v>
      </c>
      <c r="G131" s="4">
        <f t="shared" si="4"/>
        <v>470.55</v>
      </c>
      <c r="H131" t="s">
        <v>682</v>
      </c>
      <c r="I131" t="str">
        <f>VLOOKUP(C131,Customers!A:B,2,FALSE)</f>
        <v>2023:11:30</v>
      </c>
      <c r="J131">
        <f>IFERROR(VLOOKUP($A131,Sheet3!$A:$E,2,FALSE),"")</f>
        <v>17</v>
      </c>
      <c r="K131" t="str">
        <f>IFERROR(VLOOKUP($A131,Sheet3!$A:$E,3,FALSE),"")</f>
        <v>2</v>
      </c>
      <c r="L131" t="str">
        <f>IFERROR(VLOOKUP($A131,Sheet3!$A:$E,4,FALSE),"")</f>
        <v>2024-06-23T04:17:37.000Z</v>
      </c>
      <c r="M131" t="str">
        <f>IFERROR(VLOOKUP($A131,Sheet3!$A:$E,5,FALSE),"")</f>
        <v>2025-08-27T07:06:17.000Z</v>
      </c>
      <c r="N131" s="4">
        <f t="shared" ref="N131:N194" si="5">IFERROR(LEFT(L131,10)-(LEFT(I131,4)&amp;"-"&amp;MID(I131,6,2)&amp;"-"&amp;RIGHT(I131,2)),"")</f>
        <v>206</v>
      </c>
      <c r="O131" t="s">
        <v>2809</v>
      </c>
    </row>
    <row r="132" spans="1:15" x14ac:dyDescent="0.25">
      <c r="A132" t="s">
        <v>683</v>
      </c>
      <c r="B132" t="s">
        <v>318</v>
      </c>
      <c r="C132" t="s">
        <v>29</v>
      </c>
      <c r="D132" t="s">
        <v>319</v>
      </c>
      <c r="E132" t="s">
        <v>320</v>
      </c>
      <c r="F132" t="s">
        <v>684</v>
      </c>
      <c r="G132" s="4">
        <f t="shared" si="4"/>
        <v>853.2833333333333</v>
      </c>
      <c r="H132" t="s">
        <v>685</v>
      </c>
      <c r="I132" t="str">
        <f>VLOOKUP(C132,Customers!A:B,2,FALSE)</f>
        <v>2023:11:30</v>
      </c>
      <c r="J132">
        <f>IFERROR(VLOOKUP($A132,Sheet3!$A:$E,2,FALSE),"")</f>
        <v>11</v>
      </c>
      <c r="K132" t="str">
        <f>IFERROR(VLOOKUP($A132,Sheet3!$A:$E,3,FALSE),"")</f>
        <v>1</v>
      </c>
      <c r="L132" t="str">
        <f>IFERROR(VLOOKUP($A132,Sheet3!$A:$E,4,FALSE),"")</f>
        <v>2024-05-18T14:08:49.000Z</v>
      </c>
      <c r="M132" t="str">
        <f>IFERROR(VLOOKUP($A132,Sheet3!$A:$E,5,FALSE),"")</f>
        <v>2025-09-24T09:03:14.000Z</v>
      </c>
      <c r="N132" s="4">
        <f t="shared" si="5"/>
        <v>170</v>
      </c>
      <c r="O132" t="s">
        <v>2808</v>
      </c>
    </row>
    <row r="133" spans="1:15" x14ac:dyDescent="0.25">
      <c r="A133" t="s">
        <v>686</v>
      </c>
      <c r="B133" t="s">
        <v>318</v>
      </c>
      <c r="C133" t="s">
        <v>29</v>
      </c>
      <c r="D133" t="s">
        <v>319</v>
      </c>
      <c r="E133" t="s">
        <v>320</v>
      </c>
      <c r="F133" t="s">
        <v>687</v>
      </c>
      <c r="G133" s="4">
        <f t="shared" si="4"/>
        <v>151.36666666666667</v>
      </c>
      <c r="H133" t="s">
        <v>688</v>
      </c>
      <c r="I133" t="str">
        <f>VLOOKUP(C133,Customers!A:B,2,FALSE)</f>
        <v>2023:11:30</v>
      </c>
      <c r="J133">
        <f>IFERROR(VLOOKUP($A133,Sheet3!$A:$E,2,FALSE),"")</f>
        <v>39</v>
      </c>
      <c r="K133" t="str">
        <f>IFERROR(VLOOKUP($A133,Sheet3!$A:$E,3,FALSE),"")</f>
        <v>0</v>
      </c>
      <c r="L133" t="str">
        <f>IFERROR(VLOOKUP($A133,Sheet3!$A:$E,4,FALSE),"")</f>
        <v>2024-06-29T03:58:26.000Z</v>
      </c>
      <c r="M133" t="str">
        <f>IFERROR(VLOOKUP($A133,Sheet3!$A:$E,5,FALSE),"")</f>
        <v>2026-02-23T11:23:01.000Z</v>
      </c>
      <c r="N133" s="4">
        <f t="shared" si="5"/>
        <v>212</v>
      </c>
      <c r="O133" t="s">
        <v>2809</v>
      </c>
    </row>
    <row r="134" spans="1:15" x14ac:dyDescent="0.25">
      <c r="A134" t="s">
        <v>689</v>
      </c>
      <c r="B134" t="s">
        <v>318</v>
      </c>
      <c r="C134" t="s">
        <v>46</v>
      </c>
      <c r="D134" t="s">
        <v>637</v>
      </c>
      <c r="E134" t="s">
        <v>638</v>
      </c>
      <c r="F134" t="s">
        <v>690</v>
      </c>
      <c r="G134" s="4">
        <f t="shared" si="4"/>
        <v>69.083333333333329</v>
      </c>
      <c r="H134" t="s">
        <v>691</v>
      </c>
      <c r="I134" t="str">
        <f>VLOOKUP(C134,Customers!A:B,2,FALSE)</f>
        <v>2024:06:28</v>
      </c>
      <c r="J134">
        <f>IFERROR(VLOOKUP($A134,Sheet3!$A:$E,2,FALSE),"")</f>
        <v>2</v>
      </c>
      <c r="K134" t="str">
        <f>IFERROR(VLOOKUP($A134,Sheet3!$A:$E,3,FALSE),"")</f>
        <v>0</v>
      </c>
      <c r="L134" t="str">
        <f>IFERROR(VLOOKUP($A134,Sheet3!$A:$E,4,FALSE),"")</f>
        <v>2024-05-14T12:59:57.000Z</v>
      </c>
      <c r="M134" t="str">
        <f>IFERROR(VLOOKUP($A134,Sheet3!$A:$E,5,FALSE),"")</f>
        <v>2024-10-23T09:40:33.000Z</v>
      </c>
      <c r="N134" s="4">
        <f t="shared" si="5"/>
        <v>-45</v>
      </c>
      <c r="O134" t="s">
        <v>2808</v>
      </c>
    </row>
    <row r="135" spans="1:15" x14ac:dyDescent="0.25">
      <c r="A135" t="s">
        <v>692</v>
      </c>
      <c r="B135" t="s">
        <v>318</v>
      </c>
      <c r="C135" t="s">
        <v>29</v>
      </c>
      <c r="D135" t="s">
        <v>319</v>
      </c>
      <c r="E135" t="s">
        <v>320</v>
      </c>
      <c r="F135" t="s">
        <v>693</v>
      </c>
      <c r="G135" s="4">
        <f t="shared" si="4"/>
        <v>267.5</v>
      </c>
      <c r="H135" t="s">
        <v>694</v>
      </c>
      <c r="I135" t="str">
        <f>VLOOKUP(C135,Customers!A:B,2,FALSE)</f>
        <v>2023:11:30</v>
      </c>
      <c r="J135">
        <f>IFERROR(VLOOKUP($A135,Sheet3!$A:$E,2,FALSE),"")</f>
        <v>29</v>
      </c>
      <c r="K135" t="str">
        <f>IFERROR(VLOOKUP($A135,Sheet3!$A:$E,3,FALSE),"")</f>
        <v>13</v>
      </c>
      <c r="L135" t="str">
        <f>IFERROR(VLOOKUP($A135,Sheet3!$A:$E,4,FALSE),"")</f>
        <v>2024-05-10T04:34:45.000Z</v>
      </c>
      <c r="M135" t="str">
        <f>IFERROR(VLOOKUP($A135,Sheet3!$A:$E,5,FALSE),"")</f>
        <v>2025-08-14T11:18:31.000Z</v>
      </c>
      <c r="N135" s="4">
        <f t="shared" si="5"/>
        <v>162</v>
      </c>
      <c r="O135" t="s">
        <v>2809</v>
      </c>
    </row>
    <row r="136" spans="1:15" x14ac:dyDescent="0.25">
      <c r="A136" t="s">
        <v>695</v>
      </c>
      <c r="B136" t="s">
        <v>318</v>
      </c>
      <c r="C136" t="s">
        <v>29</v>
      </c>
      <c r="D136" t="s">
        <v>319</v>
      </c>
      <c r="E136" t="s">
        <v>320</v>
      </c>
      <c r="F136" t="s">
        <v>696</v>
      </c>
      <c r="G136" s="4">
        <f t="shared" si="4"/>
        <v>332.58333333333331</v>
      </c>
      <c r="H136" t="s">
        <v>697</v>
      </c>
      <c r="I136" t="str">
        <f>VLOOKUP(C136,Customers!A:B,2,FALSE)</f>
        <v>2023:11:30</v>
      </c>
      <c r="J136">
        <f>IFERROR(VLOOKUP($A136,Sheet3!$A:$E,2,FALSE),"")</f>
        <v>35</v>
      </c>
      <c r="K136" t="str">
        <f>IFERROR(VLOOKUP($A136,Sheet3!$A:$E,3,FALSE),"")</f>
        <v>13</v>
      </c>
      <c r="L136" t="str">
        <f>IFERROR(VLOOKUP($A136,Sheet3!$A:$E,4,FALSE),"")</f>
        <v>2024-06-23T02:59:57.000Z</v>
      </c>
      <c r="M136" t="str">
        <f>IFERROR(VLOOKUP($A136,Sheet3!$A:$E,5,FALSE),"")</f>
        <v>2025-10-07T08:34:53.000Z</v>
      </c>
      <c r="N136" s="4">
        <f t="shared" si="5"/>
        <v>206</v>
      </c>
      <c r="O136" t="s">
        <v>2808</v>
      </c>
    </row>
    <row r="137" spans="1:15" x14ac:dyDescent="0.25">
      <c r="A137" t="s">
        <v>698</v>
      </c>
      <c r="B137" t="s">
        <v>318</v>
      </c>
      <c r="C137" t="s">
        <v>29</v>
      </c>
      <c r="D137" t="s">
        <v>319</v>
      </c>
      <c r="E137" t="s">
        <v>320</v>
      </c>
      <c r="F137" t="s">
        <v>699</v>
      </c>
      <c r="G137" s="4">
        <f t="shared" si="4"/>
        <v>1192.0166666666667</v>
      </c>
      <c r="H137" t="s">
        <v>700</v>
      </c>
      <c r="I137" t="str">
        <f>VLOOKUP(C137,Customers!A:B,2,FALSE)</f>
        <v>2023:11:30</v>
      </c>
      <c r="J137">
        <f>IFERROR(VLOOKUP($A137,Sheet3!$A:$E,2,FALSE),"")</f>
        <v>33</v>
      </c>
      <c r="K137" t="str">
        <f>IFERROR(VLOOKUP($A137,Sheet3!$A:$E,3,FALSE),"")</f>
        <v>9</v>
      </c>
      <c r="L137" t="str">
        <f>IFERROR(VLOOKUP($A137,Sheet3!$A:$E,4,FALSE),"")</f>
        <v>2024-07-05T03:49:53.000Z</v>
      </c>
      <c r="M137" t="str">
        <f>IFERROR(VLOOKUP($A137,Sheet3!$A:$E,5,FALSE),"")</f>
        <v>2026-04-13T12:16:59.000Z</v>
      </c>
      <c r="N137" s="4">
        <f t="shared" si="5"/>
        <v>218</v>
      </c>
      <c r="O137" t="s">
        <v>2809</v>
      </c>
    </row>
    <row r="138" spans="1:15" x14ac:dyDescent="0.25">
      <c r="A138" t="s">
        <v>701</v>
      </c>
      <c r="B138" t="s">
        <v>318</v>
      </c>
      <c r="C138" t="s">
        <v>29</v>
      </c>
      <c r="D138" t="s">
        <v>319</v>
      </c>
      <c r="E138" t="s">
        <v>320</v>
      </c>
      <c r="F138" t="s">
        <v>702</v>
      </c>
      <c r="G138" s="4">
        <f t="shared" si="4"/>
        <v>538.43333333333328</v>
      </c>
      <c r="H138" t="s">
        <v>703</v>
      </c>
      <c r="I138" t="str">
        <f>VLOOKUP(C138,Customers!A:B,2,FALSE)</f>
        <v>2023:11:30</v>
      </c>
      <c r="J138">
        <f>IFERROR(VLOOKUP($A138,Sheet3!$A:$E,2,FALSE),"")</f>
        <v>5</v>
      </c>
      <c r="K138" t="str">
        <f>IFERROR(VLOOKUP($A138,Sheet3!$A:$E,3,FALSE),"")</f>
        <v>0</v>
      </c>
      <c r="L138" t="str">
        <f>IFERROR(VLOOKUP($A138,Sheet3!$A:$E,4,FALSE),"")</f>
        <v>2024-06-09T04:58:55.000Z</v>
      </c>
      <c r="M138" t="str">
        <f>IFERROR(VLOOKUP($A138,Sheet3!$A:$E,5,FALSE),"")</f>
        <v>2025-07-17T06:10:10.000Z</v>
      </c>
      <c r="N138" s="4">
        <f t="shared" si="5"/>
        <v>192</v>
      </c>
      <c r="O138" t="s">
        <v>2808</v>
      </c>
    </row>
    <row r="139" spans="1:15" x14ac:dyDescent="0.25">
      <c r="A139" t="s">
        <v>704</v>
      </c>
      <c r="B139" t="s">
        <v>318</v>
      </c>
      <c r="C139" t="s">
        <v>29</v>
      </c>
      <c r="D139" t="s">
        <v>319</v>
      </c>
      <c r="E139" t="s">
        <v>320</v>
      </c>
      <c r="F139" t="s">
        <v>705</v>
      </c>
      <c r="G139" s="4">
        <f t="shared" si="4"/>
        <v>247.65</v>
      </c>
      <c r="H139" t="s">
        <v>706</v>
      </c>
      <c r="I139" t="str">
        <f>VLOOKUP(C139,Customers!A:B,2,FALSE)</f>
        <v>2023:11:30</v>
      </c>
      <c r="J139">
        <f>IFERROR(VLOOKUP($A139,Sheet3!$A:$E,2,FALSE),"")</f>
        <v>10</v>
      </c>
      <c r="K139" t="str">
        <f>IFERROR(VLOOKUP($A139,Sheet3!$A:$E,3,FALSE),"")</f>
        <v>0</v>
      </c>
      <c r="L139" t="str">
        <f>IFERROR(VLOOKUP($A139,Sheet3!$A:$E,4,FALSE),"")</f>
        <v>2024-06-20T07:04:12.000Z</v>
      </c>
      <c r="M139" t="str">
        <f>IFERROR(VLOOKUP($A139,Sheet3!$A:$E,5,FALSE),"")</f>
        <v>2025-12-13T07:01:59.000Z</v>
      </c>
      <c r="N139" s="4">
        <f t="shared" si="5"/>
        <v>203</v>
      </c>
      <c r="O139" t="s">
        <v>2809</v>
      </c>
    </row>
    <row r="140" spans="1:15" x14ac:dyDescent="0.25">
      <c r="A140" t="s">
        <v>707</v>
      </c>
      <c r="B140" t="s">
        <v>318</v>
      </c>
      <c r="C140" t="s">
        <v>29</v>
      </c>
      <c r="D140" t="s">
        <v>319</v>
      </c>
      <c r="E140" t="s">
        <v>320</v>
      </c>
      <c r="F140" t="s">
        <v>708</v>
      </c>
      <c r="G140" s="4">
        <f t="shared" si="4"/>
        <v>39.65</v>
      </c>
      <c r="H140" t="s">
        <v>709</v>
      </c>
      <c r="I140" t="str">
        <f>VLOOKUP(C140,Customers!A:B,2,FALSE)</f>
        <v>2023:11:30</v>
      </c>
      <c r="J140">
        <f>IFERROR(VLOOKUP($A140,Sheet3!$A:$E,2,FALSE),"")</f>
        <v>14</v>
      </c>
      <c r="K140" t="str">
        <f>IFERROR(VLOOKUP($A140,Sheet3!$A:$E,3,FALSE),"")</f>
        <v>0</v>
      </c>
      <c r="L140" t="str">
        <f>IFERROR(VLOOKUP($A140,Sheet3!$A:$E,4,FALSE),"")</f>
        <v>2024-06-08T08:18:07.000Z</v>
      </c>
      <c r="M140" t="str">
        <f>IFERROR(VLOOKUP($A140,Sheet3!$A:$E,5,FALSE),"")</f>
        <v>2026-01-09T06:26:43.000Z</v>
      </c>
      <c r="N140" s="4">
        <f t="shared" si="5"/>
        <v>191</v>
      </c>
      <c r="O140" t="s">
        <v>2808</v>
      </c>
    </row>
    <row r="141" spans="1:15" x14ac:dyDescent="0.25">
      <c r="A141" t="s">
        <v>710</v>
      </c>
      <c r="B141" t="s">
        <v>318</v>
      </c>
      <c r="C141" t="s">
        <v>29</v>
      </c>
      <c r="D141" t="s">
        <v>319</v>
      </c>
      <c r="E141" t="s">
        <v>320</v>
      </c>
      <c r="F141" t="s">
        <v>711</v>
      </c>
      <c r="G141" s="4">
        <f t="shared" si="4"/>
        <v>1213.5333333333333</v>
      </c>
      <c r="H141" t="s">
        <v>712</v>
      </c>
      <c r="I141" t="str">
        <f>VLOOKUP(C141,Customers!A:B,2,FALSE)</f>
        <v>2023:11:30</v>
      </c>
      <c r="J141">
        <f>IFERROR(VLOOKUP($A141,Sheet3!$A:$E,2,FALSE),"")</f>
        <v>24</v>
      </c>
      <c r="K141" t="str">
        <f>IFERROR(VLOOKUP($A141,Sheet3!$A:$E,3,FALSE),"")</f>
        <v>2</v>
      </c>
      <c r="L141" t="str">
        <f>IFERROR(VLOOKUP($A141,Sheet3!$A:$E,4,FALSE),"")</f>
        <v>2024-06-22T13:20:08.000Z</v>
      </c>
      <c r="M141" t="str">
        <f>IFERROR(VLOOKUP($A141,Sheet3!$A:$E,5,FALSE),"")</f>
        <v>2026-04-21T05:08:41.000Z</v>
      </c>
      <c r="N141" s="4">
        <f t="shared" si="5"/>
        <v>205</v>
      </c>
      <c r="O141" t="s">
        <v>2809</v>
      </c>
    </row>
    <row r="142" spans="1:15" x14ac:dyDescent="0.25">
      <c r="A142" t="s">
        <v>713</v>
      </c>
      <c r="B142" t="s">
        <v>318</v>
      </c>
      <c r="C142" t="s">
        <v>29</v>
      </c>
      <c r="D142" t="s">
        <v>319</v>
      </c>
      <c r="E142" t="s">
        <v>320</v>
      </c>
      <c r="F142" t="s">
        <v>714</v>
      </c>
      <c r="G142" s="4">
        <f t="shared" si="4"/>
        <v>59.966666666666669</v>
      </c>
      <c r="H142" t="s">
        <v>715</v>
      </c>
      <c r="I142" t="str">
        <f>VLOOKUP(C142,Customers!A:B,2,FALSE)</f>
        <v>2023:11:30</v>
      </c>
      <c r="J142">
        <f>IFERROR(VLOOKUP($A142,Sheet3!$A:$E,2,FALSE),"")</f>
        <v>34</v>
      </c>
      <c r="K142" t="str">
        <f>IFERROR(VLOOKUP($A142,Sheet3!$A:$E,3,FALSE),"")</f>
        <v>12</v>
      </c>
      <c r="L142" t="str">
        <f>IFERROR(VLOOKUP($A142,Sheet3!$A:$E,4,FALSE),"")</f>
        <v>2024-05-29T13:54:05.000Z</v>
      </c>
      <c r="M142" t="str">
        <f>IFERROR(VLOOKUP($A142,Sheet3!$A:$E,5,FALSE),"")</f>
        <v>2025-09-21T14:34:20.000Z</v>
      </c>
      <c r="N142" s="4">
        <f t="shared" si="5"/>
        <v>181</v>
      </c>
      <c r="O142" t="s">
        <v>2808</v>
      </c>
    </row>
    <row r="143" spans="1:15" x14ac:dyDescent="0.25">
      <c r="A143" t="s">
        <v>716</v>
      </c>
      <c r="B143" t="s">
        <v>318</v>
      </c>
      <c r="C143" t="s">
        <v>29</v>
      </c>
      <c r="D143" t="s">
        <v>319</v>
      </c>
      <c r="E143" t="s">
        <v>320</v>
      </c>
      <c r="F143" t="s">
        <v>717</v>
      </c>
      <c r="G143" s="4">
        <f t="shared" si="4"/>
        <v>124.45</v>
      </c>
      <c r="H143" t="s">
        <v>718</v>
      </c>
      <c r="I143" t="str">
        <f>VLOOKUP(C143,Customers!A:B,2,FALSE)</f>
        <v>2023:11:30</v>
      </c>
      <c r="J143">
        <f>IFERROR(VLOOKUP($A143,Sheet3!$A:$E,2,FALSE),"")</f>
        <v>6</v>
      </c>
      <c r="K143" t="str">
        <f>IFERROR(VLOOKUP($A143,Sheet3!$A:$E,3,FALSE),"")</f>
        <v>0</v>
      </c>
      <c r="L143" t="str">
        <f>IFERROR(VLOOKUP($A143,Sheet3!$A:$E,4,FALSE),"")</f>
        <v>2024-04-27T07:55:20.000Z</v>
      </c>
      <c r="M143" t="str">
        <f>IFERROR(VLOOKUP($A143,Sheet3!$A:$E,5,FALSE),"")</f>
        <v>2025-09-09T11:22:59.000Z</v>
      </c>
      <c r="N143" s="4">
        <f t="shared" si="5"/>
        <v>149</v>
      </c>
      <c r="O143" t="s">
        <v>2809</v>
      </c>
    </row>
    <row r="144" spans="1:15" x14ac:dyDescent="0.25">
      <c r="A144" t="s">
        <v>719</v>
      </c>
      <c r="B144" t="s">
        <v>318</v>
      </c>
      <c r="C144" t="s">
        <v>29</v>
      </c>
      <c r="D144" t="s">
        <v>319</v>
      </c>
      <c r="E144" t="s">
        <v>320</v>
      </c>
      <c r="F144" t="s">
        <v>720</v>
      </c>
      <c r="G144" s="4">
        <f t="shared" si="4"/>
        <v>1056.7666666666667</v>
      </c>
      <c r="H144" t="s">
        <v>721</v>
      </c>
      <c r="I144" t="str">
        <f>VLOOKUP(C144,Customers!A:B,2,FALSE)</f>
        <v>2023:11:30</v>
      </c>
      <c r="J144">
        <f>IFERROR(VLOOKUP($A144,Sheet3!$A:$E,2,FALSE),"")</f>
        <v>13</v>
      </c>
      <c r="K144" t="str">
        <f>IFERROR(VLOOKUP($A144,Sheet3!$A:$E,3,FALSE),"")</f>
        <v>5</v>
      </c>
      <c r="L144" t="str">
        <f>IFERROR(VLOOKUP($A144,Sheet3!$A:$E,4,FALSE),"")</f>
        <v>2024-08-29T08:02:33.000Z</v>
      </c>
      <c r="M144" t="str">
        <f>IFERROR(VLOOKUP($A144,Sheet3!$A:$E,5,FALSE),"")</f>
        <v>2026-05-03T12:26:19.000Z</v>
      </c>
      <c r="N144" s="4">
        <f t="shared" si="5"/>
        <v>273</v>
      </c>
      <c r="O144" t="s">
        <v>2808</v>
      </c>
    </row>
    <row r="145" spans="1:15" x14ac:dyDescent="0.25">
      <c r="A145" t="s">
        <v>722</v>
      </c>
      <c r="B145" t="s">
        <v>318</v>
      </c>
      <c r="C145" t="s">
        <v>29</v>
      </c>
      <c r="D145" t="s">
        <v>319</v>
      </c>
      <c r="E145" t="s">
        <v>320</v>
      </c>
      <c r="F145" t="s">
        <v>723</v>
      </c>
      <c r="G145" s="4">
        <f t="shared" si="4"/>
        <v>111.7</v>
      </c>
      <c r="H145" t="s">
        <v>724</v>
      </c>
      <c r="I145" t="str">
        <f>VLOOKUP(C145,Customers!A:B,2,FALSE)</f>
        <v>2023:11:30</v>
      </c>
      <c r="J145">
        <f>IFERROR(VLOOKUP($A145,Sheet3!$A:$E,2,FALSE),"")</f>
        <v>33</v>
      </c>
      <c r="K145" t="str">
        <f>IFERROR(VLOOKUP($A145,Sheet3!$A:$E,3,FALSE),"")</f>
        <v>8</v>
      </c>
      <c r="L145" t="str">
        <f>IFERROR(VLOOKUP($A145,Sheet3!$A:$E,4,FALSE),"")</f>
        <v>2024-05-16T06:31:05.000Z</v>
      </c>
      <c r="M145" t="str">
        <f>IFERROR(VLOOKUP($A145,Sheet3!$A:$E,5,FALSE),"")</f>
        <v>2025-12-11T07:32:13.000Z</v>
      </c>
      <c r="N145" s="4">
        <f t="shared" si="5"/>
        <v>168</v>
      </c>
      <c r="O145" t="s">
        <v>2809</v>
      </c>
    </row>
    <row r="146" spans="1:15" x14ac:dyDescent="0.25">
      <c r="A146" t="s">
        <v>725</v>
      </c>
      <c r="B146" t="s">
        <v>318</v>
      </c>
      <c r="C146" t="s">
        <v>29</v>
      </c>
      <c r="D146" t="s">
        <v>319</v>
      </c>
      <c r="E146" t="s">
        <v>320</v>
      </c>
      <c r="F146" t="s">
        <v>726</v>
      </c>
      <c r="G146" s="4">
        <f t="shared" si="4"/>
        <v>701.55</v>
      </c>
      <c r="H146" t="s">
        <v>727</v>
      </c>
      <c r="I146" t="str">
        <f>VLOOKUP(C146,Customers!A:B,2,FALSE)</f>
        <v>2023:11:30</v>
      </c>
      <c r="J146">
        <f>IFERROR(VLOOKUP($A146,Sheet3!$A:$E,2,FALSE),"")</f>
        <v>16</v>
      </c>
      <c r="K146" t="str">
        <f>IFERROR(VLOOKUP($A146,Sheet3!$A:$E,3,FALSE),"")</f>
        <v>4</v>
      </c>
      <c r="L146" t="str">
        <f>IFERROR(VLOOKUP($A146,Sheet3!$A:$E,4,FALSE),"")</f>
        <v>2024-06-23T04:25:43.000Z</v>
      </c>
      <c r="M146" t="str">
        <f>IFERROR(VLOOKUP($A146,Sheet3!$A:$E,5,FALSE),"")</f>
        <v>2025-10-11T12:33:40.000Z</v>
      </c>
      <c r="N146" s="4">
        <f t="shared" si="5"/>
        <v>206</v>
      </c>
      <c r="O146" t="s">
        <v>2808</v>
      </c>
    </row>
    <row r="147" spans="1:15" x14ac:dyDescent="0.25">
      <c r="A147" t="s">
        <v>728</v>
      </c>
      <c r="B147" t="s">
        <v>318</v>
      </c>
      <c r="C147" t="s">
        <v>29</v>
      </c>
      <c r="D147" t="s">
        <v>319</v>
      </c>
      <c r="E147" t="s">
        <v>320</v>
      </c>
      <c r="F147" t="s">
        <v>729</v>
      </c>
      <c r="G147" s="4">
        <f t="shared" si="4"/>
        <v>1207.6833333333334</v>
      </c>
      <c r="H147" t="s">
        <v>730</v>
      </c>
      <c r="I147" t="str">
        <f>VLOOKUP(C147,Customers!A:B,2,FALSE)</f>
        <v>2023:11:30</v>
      </c>
      <c r="J147">
        <f>IFERROR(VLOOKUP($A147,Sheet3!$A:$E,2,FALSE),"")</f>
        <v>19</v>
      </c>
      <c r="K147" t="str">
        <f>IFERROR(VLOOKUP($A147,Sheet3!$A:$E,3,FALSE),"")</f>
        <v>13</v>
      </c>
      <c r="L147" t="str">
        <f>IFERROR(VLOOKUP($A147,Sheet3!$A:$E,4,FALSE),"")</f>
        <v>2024-05-17T03:35:26.000Z</v>
      </c>
      <c r="M147" t="str">
        <f>IFERROR(VLOOKUP($A147,Sheet3!$A:$E,5,FALSE),"")</f>
        <v>2026-02-22T11:54:35.000Z</v>
      </c>
      <c r="N147" s="4">
        <f t="shared" si="5"/>
        <v>169</v>
      </c>
      <c r="O147" t="s">
        <v>2809</v>
      </c>
    </row>
    <row r="148" spans="1:15" x14ac:dyDescent="0.25">
      <c r="A148" t="s">
        <v>731</v>
      </c>
      <c r="B148" t="s">
        <v>318</v>
      </c>
      <c r="C148" t="s">
        <v>29</v>
      </c>
      <c r="D148" t="s">
        <v>319</v>
      </c>
      <c r="E148" t="s">
        <v>320</v>
      </c>
      <c r="F148" t="s">
        <v>732</v>
      </c>
      <c r="G148" s="4">
        <f t="shared" si="4"/>
        <v>1091.9166666666667</v>
      </c>
      <c r="H148" t="s">
        <v>733</v>
      </c>
      <c r="I148" t="str">
        <f>VLOOKUP(C148,Customers!A:B,2,FALSE)</f>
        <v>2023:11:30</v>
      </c>
      <c r="J148">
        <f>IFERROR(VLOOKUP($A148,Sheet3!$A:$E,2,FALSE),"")</f>
        <v>58</v>
      </c>
      <c r="K148" t="str">
        <f>IFERROR(VLOOKUP($A148,Sheet3!$A:$E,3,FALSE),"")</f>
        <v>28</v>
      </c>
      <c r="L148" t="str">
        <f>IFERROR(VLOOKUP($A148,Sheet3!$A:$E,4,FALSE),"")</f>
        <v>2024-06-23T06:36:02.000Z</v>
      </c>
      <c r="M148" t="str">
        <f>IFERROR(VLOOKUP($A148,Sheet3!$A:$E,5,FALSE),"")</f>
        <v>2026-01-20T07:41:46.000Z</v>
      </c>
      <c r="N148" s="4">
        <f t="shared" si="5"/>
        <v>206</v>
      </c>
      <c r="O148" t="s">
        <v>2808</v>
      </c>
    </row>
    <row r="149" spans="1:15" x14ac:dyDescent="0.25">
      <c r="A149" t="s">
        <v>734</v>
      </c>
      <c r="B149" t="s">
        <v>318</v>
      </c>
      <c r="C149" t="s">
        <v>29</v>
      </c>
      <c r="D149" t="s">
        <v>319</v>
      </c>
      <c r="E149" t="s">
        <v>320</v>
      </c>
      <c r="F149" t="s">
        <v>735</v>
      </c>
      <c r="G149" s="4">
        <f t="shared" si="4"/>
        <v>185.31666666666666</v>
      </c>
      <c r="H149" t="s">
        <v>198</v>
      </c>
      <c r="I149" t="str">
        <f>VLOOKUP(C149,Customers!A:B,2,FALSE)</f>
        <v>2023:11:30</v>
      </c>
      <c r="J149">
        <f>IFERROR(VLOOKUP($A149,Sheet3!$A:$E,2,FALSE),"")</f>
        <v>2</v>
      </c>
      <c r="K149" t="str">
        <f>IFERROR(VLOOKUP($A149,Sheet3!$A:$E,3,FALSE),"")</f>
        <v>0</v>
      </c>
      <c r="L149" t="str">
        <f>IFERROR(VLOOKUP($A149,Sheet3!$A:$E,4,FALSE),"")</f>
        <v>2024-05-08T10:30:40.000Z</v>
      </c>
      <c r="M149" t="str">
        <f>IFERROR(VLOOKUP($A149,Sheet3!$A:$E,5,FALSE),"")</f>
        <v>2024-05-08T14:07:09.000Z</v>
      </c>
      <c r="N149" s="4">
        <f t="shared" si="5"/>
        <v>160</v>
      </c>
      <c r="O149" t="s">
        <v>2809</v>
      </c>
    </row>
    <row r="150" spans="1:15" x14ac:dyDescent="0.25">
      <c r="A150" t="s">
        <v>736</v>
      </c>
      <c r="B150" t="s">
        <v>318</v>
      </c>
      <c r="C150" t="s">
        <v>29</v>
      </c>
      <c r="D150" t="s">
        <v>319</v>
      </c>
      <c r="E150" t="s">
        <v>320</v>
      </c>
      <c r="F150" t="s">
        <v>737</v>
      </c>
      <c r="G150" s="4">
        <f t="shared" si="4"/>
        <v>526.54999999999995</v>
      </c>
      <c r="H150" t="s">
        <v>738</v>
      </c>
      <c r="I150" t="str">
        <f>VLOOKUP(C150,Customers!A:B,2,FALSE)</f>
        <v>2023:11:30</v>
      </c>
      <c r="J150">
        <f>IFERROR(VLOOKUP($A150,Sheet3!$A:$E,2,FALSE),"")</f>
        <v>38</v>
      </c>
      <c r="K150" t="str">
        <f>IFERROR(VLOOKUP($A150,Sheet3!$A:$E,3,FALSE),"")</f>
        <v>13</v>
      </c>
      <c r="L150" t="str">
        <f>IFERROR(VLOOKUP($A150,Sheet3!$A:$E,4,FALSE),"")</f>
        <v>2024-05-21T04:26:49.000Z</v>
      </c>
      <c r="M150" t="str">
        <f>IFERROR(VLOOKUP($A150,Sheet3!$A:$E,5,FALSE),"")</f>
        <v>2025-06-11T13:16:44.000Z</v>
      </c>
      <c r="N150" s="4">
        <f t="shared" si="5"/>
        <v>173</v>
      </c>
      <c r="O150" t="s">
        <v>2808</v>
      </c>
    </row>
    <row r="151" spans="1:15" x14ac:dyDescent="0.25">
      <c r="A151" t="s">
        <v>739</v>
      </c>
      <c r="B151" t="s">
        <v>318</v>
      </c>
      <c r="C151" t="s">
        <v>29</v>
      </c>
      <c r="D151" t="s">
        <v>319</v>
      </c>
      <c r="E151" t="s">
        <v>320</v>
      </c>
      <c r="F151" t="s">
        <v>740</v>
      </c>
      <c r="G151" s="4">
        <f t="shared" si="4"/>
        <v>904.0333333333333</v>
      </c>
      <c r="H151" t="s">
        <v>741</v>
      </c>
      <c r="I151" t="str">
        <f>VLOOKUP(C151,Customers!A:B,2,FALSE)</f>
        <v>2023:11:30</v>
      </c>
      <c r="J151">
        <f>IFERROR(VLOOKUP($A151,Sheet3!$A:$E,2,FALSE),"")</f>
        <v>26</v>
      </c>
      <c r="K151" t="str">
        <f>IFERROR(VLOOKUP($A151,Sheet3!$A:$E,3,FALSE),"")</f>
        <v>12</v>
      </c>
      <c r="L151" t="str">
        <f>IFERROR(VLOOKUP($A151,Sheet3!$A:$E,4,FALSE),"")</f>
        <v>2024-06-15T12:08:17.000Z</v>
      </c>
      <c r="M151" t="str">
        <f>IFERROR(VLOOKUP($A151,Sheet3!$A:$E,5,FALSE),"")</f>
        <v>2025-06-02T13:04:46.000Z</v>
      </c>
      <c r="N151" s="4">
        <f t="shared" si="5"/>
        <v>198</v>
      </c>
      <c r="O151" t="s">
        <v>2809</v>
      </c>
    </row>
    <row r="152" spans="1:15" x14ac:dyDescent="0.25">
      <c r="A152" t="s">
        <v>742</v>
      </c>
      <c r="B152" t="s">
        <v>318</v>
      </c>
      <c r="C152" t="s">
        <v>46</v>
      </c>
      <c r="D152" t="s">
        <v>637</v>
      </c>
      <c r="E152" t="s">
        <v>638</v>
      </c>
      <c r="F152" t="s">
        <v>743</v>
      </c>
      <c r="G152" s="4">
        <f t="shared" si="4"/>
        <v>286.68333333333334</v>
      </c>
      <c r="H152" t="s">
        <v>744</v>
      </c>
      <c r="I152" t="str">
        <f>VLOOKUP(C152,Customers!A:B,2,FALSE)</f>
        <v>2024:06:28</v>
      </c>
      <c r="J152">
        <f>IFERROR(VLOOKUP($A152,Sheet3!$A:$E,2,FALSE),"")</f>
        <v>3</v>
      </c>
      <c r="K152" t="str">
        <f>IFERROR(VLOOKUP($A152,Sheet3!$A:$E,3,FALSE),"")</f>
        <v>0</v>
      </c>
      <c r="L152" t="str">
        <f>IFERROR(VLOOKUP($A152,Sheet3!$A:$E,4,FALSE),"")</f>
        <v>2024-05-14T12:58:32.000Z</v>
      </c>
      <c r="M152" t="str">
        <f>IFERROR(VLOOKUP($A152,Sheet3!$A:$E,5,FALSE),"")</f>
        <v>2024-10-07T10:40:03.000Z</v>
      </c>
      <c r="N152" s="4">
        <f t="shared" si="5"/>
        <v>-45</v>
      </c>
      <c r="O152" t="s">
        <v>2808</v>
      </c>
    </row>
    <row r="153" spans="1:15" x14ac:dyDescent="0.25">
      <c r="A153" t="s">
        <v>745</v>
      </c>
      <c r="B153" t="s">
        <v>318</v>
      </c>
      <c r="C153" t="s">
        <v>29</v>
      </c>
      <c r="D153" t="s">
        <v>319</v>
      </c>
      <c r="E153" t="s">
        <v>320</v>
      </c>
      <c r="F153" t="s">
        <v>746</v>
      </c>
      <c r="G153" s="4">
        <f t="shared" si="4"/>
        <v>1380.9833333333333</v>
      </c>
      <c r="H153" t="s">
        <v>747</v>
      </c>
      <c r="I153" t="str">
        <f>VLOOKUP(C153,Customers!A:B,2,FALSE)</f>
        <v>2023:11:30</v>
      </c>
      <c r="J153">
        <f>IFERROR(VLOOKUP($A153,Sheet3!$A:$E,2,FALSE),"")</f>
        <v>12</v>
      </c>
      <c r="K153" t="str">
        <f>IFERROR(VLOOKUP($A153,Sheet3!$A:$E,3,FALSE),"")</f>
        <v>5</v>
      </c>
      <c r="L153" t="str">
        <f>IFERROR(VLOOKUP($A153,Sheet3!$A:$E,4,FALSE),"")</f>
        <v>2024-06-15T14:16:22.000Z</v>
      </c>
      <c r="M153" t="str">
        <f>IFERROR(VLOOKUP($A153,Sheet3!$A:$E,5,FALSE),"")</f>
        <v>2025-11-17T10:00:14.000Z</v>
      </c>
      <c r="N153" s="4">
        <f t="shared" si="5"/>
        <v>198</v>
      </c>
      <c r="O153" t="s">
        <v>2809</v>
      </c>
    </row>
    <row r="154" spans="1:15" x14ac:dyDescent="0.25">
      <c r="A154" t="s">
        <v>748</v>
      </c>
      <c r="B154" t="s">
        <v>318</v>
      </c>
      <c r="C154" t="s">
        <v>29</v>
      </c>
      <c r="D154" t="s">
        <v>319</v>
      </c>
      <c r="E154" t="s">
        <v>320</v>
      </c>
      <c r="F154" t="s">
        <v>749</v>
      </c>
      <c r="G154" s="4">
        <f t="shared" si="4"/>
        <v>19.633333333333333</v>
      </c>
      <c r="H154" t="s">
        <v>750</v>
      </c>
      <c r="I154" t="str">
        <f>VLOOKUP(C154,Customers!A:B,2,FALSE)</f>
        <v>2023:11:30</v>
      </c>
      <c r="J154">
        <f>IFERROR(VLOOKUP($A154,Sheet3!$A:$E,2,FALSE),"")</f>
        <v>13</v>
      </c>
      <c r="K154" t="str">
        <f>IFERROR(VLOOKUP($A154,Sheet3!$A:$E,3,FALSE),"")</f>
        <v>8</v>
      </c>
      <c r="L154" t="str">
        <f>IFERROR(VLOOKUP($A154,Sheet3!$A:$E,4,FALSE),"")</f>
        <v>2024-04-23T06:23:36.000Z</v>
      </c>
      <c r="M154" t="str">
        <f>IFERROR(VLOOKUP($A154,Sheet3!$A:$E,5,FALSE),"")</f>
        <v>2025-12-14T13:40:21.000Z</v>
      </c>
      <c r="N154" s="4">
        <f t="shared" si="5"/>
        <v>145</v>
      </c>
      <c r="O154" t="s">
        <v>2808</v>
      </c>
    </row>
    <row r="155" spans="1:15" x14ac:dyDescent="0.25">
      <c r="A155" t="s">
        <v>751</v>
      </c>
      <c r="B155" t="s">
        <v>318</v>
      </c>
      <c r="C155" t="s">
        <v>29</v>
      </c>
      <c r="D155" t="s">
        <v>319</v>
      </c>
      <c r="E155" t="s">
        <v>320</v>
      </c>
      <c r="F155" t="s">
        <v>752</v>
      </c>
      <c r="G155" s="4">
        <f t="shared" si="4"/>
        <v>210.75</v>
      </c>
      <c r="H155" t="s">
        <v>753</v>
      </c>
      <c r="I155" t="str">
        <f>VLOOKUP(C155,Customers!A:B,2,FALSE)</f>
        <v>2023:11:30</v>
      </c>
      <c r="J155">
        <f>IFERROR(VLOOKUP($A155,Sheet3!$A:$E,2,FALSE),"")</f>
        <v>26</v>
      </c>
      <c r="K155" t="str">
        <f>IFERROR(VLOOKUP($A155,Sheet3!$A:$E,3,FALSE),"")</f>
        <v>16</v>
      </c>
      <c r="L155" t="str">
        <f>IFERROR(VLOOKUP($A155,Sheet3!$A:$E,4,FALSE),"")</f>
        <v>2024-05-27T04:19:31.000Z</v>
      </c>
      <c r="M155" t="str">
        <f>IFERROR(VLOOKUP($A155,Sheet3!$A:$E,5,FALSE),"")</f>
        <v>2025-08-06T11:00:35.000Z</v>
      </c>
      <c r="N155" s="4">
        <f t="shared" si="5"/>
        <v>179</v>
      </c>
      <c r="O155" t="s">
        <v>2809</v>
      </c>
    </row>
    <row r="156" spans="1:15" x14ac:dyDescent="0.25">
      <c r="A156" t="s">
        <v>754</v>
      </c>
      <c r="B156" t="s">
        <v>318</v>
      </c>
      <c r="C156" t="s">
        <v>29</v>
      </c>
      <c r="D156" t="s">
        <v>319</v>
      </c>
      <c r="E156" t="s">
        <v>320</v>
      </c>
      <c r="F156" t="s">
        <v>755</v>
      </c>
      <c r="G156" s="4">
        <f t="shared" si="4"/>
        <v>479.11666666666667</v>
      </c>
      <c r="H156" t="s">
        <v>756</v>
      </c>
      <c r="I156" t="str">
        <f>VLOOKUP(C156,Customers!A:B,2,FALSE)</f>
        <v>2023:11:30</v>
      </c>
      <c r="J156">
        <f>IFERROR(VLOOKUP($A156,Sheet3!$A:$E,2,FALSE),"")</f>
        <v>13</v>
      </c>
      <c r="K156" t="str">
        <f>IFERROR(VLOOKUP($A156,Sheet3!$A:$E,3,FALSE),"")</f>
        <v>4</v>
      </c>
      <c r="L156" t="str">
        <f>IFERROR(VLOOKUP($A156,Sheet3!$A:$E,4,FALSE),"")</f>
        <v>2024-05-30T04:07:59.000Z</v>
      </c>
      <c r="M156" t="str">
        <f>IFERROR(VLOOKUP($A156,Sheet3!$A:$E,5,FALSE),"")</f>
        <v>2025-09-11T14:57:46.000Z</v>
      </c>
      <c r="N156" s="4">
        <f t="shared" si="5"/>
        <v>182</v>
      </c>
      <c r="O156" t="s">
        <v>2808</v>
      </c>
    </row>
    <row r="157" spans="1:15" x14ac:dyDescent="0.25">
      <c r="A157" t="s">
        <v>757</v>
      </c>
      <c r="B157" t="s">
        <v>318</v>
      </c>
      <c r="C157" t="s">
        <v>29</v>
      </c>
      <c r="D157" t="s">
        <v>319</v>
      </c>
      <c r="E157" t="s">
        <v>320</v>
      </c>
      <c r="F157" t="s">
        <v>758</v>
      </c>
      <c r="G157" s="4">
        <f t="shared" si="4"/>
        <v>552.43333333333328</v>
      </c>
      <c r="H157" t="s">
        <v>759</v>
      </c>
      <c r="I157" t="str">
        <f>VLOOKUP(C157,Customers!A:B,2,FALSE)</f>
        <v>2023:11:30</v>
      </c>
      <c r="J157">
        <f>IFERROR(VLOOKUP($A157,Sheet3!$A:$E,2,FALSE),"")</f>
        <v>15</v>
      </c>
      <c r="K157" t="str">
        <f>IFERROR(VLOOKUP($A157,Sheet3!$A:$E,3,FALSE),"")</f>
        <v>0</v>
      </c>
      <c r="L157" t="str">
        <f>IFERROR(VLOOKUP($A157,Sheet3!$A:$E,4,FALSE),"")</f>
        <v>2024-05-02T03:37:07.000Z</v>
      </c>
      <c r="M157" t="str">
        <f>IFERROR(VLOOKUP($A157,Sheet3!$A:$E,5,FALSE),"")</f>
        <v>2025-12-26T06:03:09.000Z</v>
      </c>
      <c r="N157" s="4">
        <f t="shared" si="5"/>
        <v>154</v>
      </c>
      <c r="O157" t="s">
        <v>2809</v>
      </c>
    </row>
    <row r="158" spans="1:15" x14ac:dyDescent="0.25">
      <c r="A158" t="s">
        <v>760</v>
      </c>
      <c r="B158" t="s">
        <v>318</v>
      </c>
      <c r="C158" t="s">
        <v>29</v>
      </c>
      <c r="D158" t="s">
        <v>319</v>
      </c>
      <c r="E158" t="s">
        <v>320</v>
      </c>
      <c r="F158" t="s">
        <v>761</v>
      </c>
      <c r="G158" s="4">
        <f t="shared" si="4"/>
        <v>1332.9166666666667</v>
      </c>
      <c r="H158" t="s">
        <v>762</v>
      </c>
      <c r="I158" t="str">
        <f>VLOOKUP(C158,Customers!A:B,2,FALSE)</f>
        <v>2023:11:30</v>
      </c>
      <c r="J158">
        <f>IFERROR(VLOOKUP($A158,Sheet3!$A:$E,2,FALSE),"")</f>
        <v>17</v>
      </c>
      <c r="K158" t="str">
        <f>IFERROR(VLOOKUP($A158,Sheet3!$A:$E,3,FALSE),"")</f>
        <v>5</v>
      </c>
      <c r="L158" t="str">
        <f>IFERROR(VLOOKUP($A158,Sheet3!$A:$E,4,FALSE),"")</f>
        <v>2024-05-26T02:26:32.000Z</v>
      </c>
      <c r="M158" t="str">
        <f>IFERROR(VLOOKUP($A158,Sheet3!$A:$E,5,FALSE),"")</f>
        <v>2026-01-02T09:17:16.000Z</v>
      </c>
      <c r="N158" s="4">
        <f t="shared" si="5"/>
        <v>178</v>
      </c>
      <c r="O158" t="s">
        <v>2808</v>
      </c>
    </row>
    <row r="159" spans="1:15" x14ac:dyDescent="0.25">
      <c r="A159" t="s">
        <v>763</v>
      </c>
      <c r="B159" t="s">
        <v>318</v>
      </c>
      <c r="C159" t="s">
        <v>29</v>
      </c>
      <c r="D159" t="s">
        <v>319</v>
      </c>
      <c r="E159" t="s">
        <v>320</v>
      </c>
      <c r="F159" t="s">
        <v>764</v>
      </c>
      <c r="G159" s="4">
        <f t="shared" si="4"/>
        <v>221.45</v>
      </c>
      <c r="H159" t="s">
        <v>765</v>
      </c>
      <c r="I159" t="str">
        <f>VLOOKUP(C159,Customers!A:B,2,FALSE)</f>
        <v>2023:11:30</v>
      </c>
      <c r="J159">
        <f>IFERROR(VLOOKUP($A159,Sheet3!$A:$E,2,FALSE),"")</f>
        <v>2</v>
      </c>
      <c r="K159" t="str">
        <f>IFERROR(VLOOKUP($A159,Sheet3!$A:$E,3,FALSE),"")</f>
        <v>0</v>
      </c>
      <c r="L159" t="str">
        <f>IFERROR(VLOOKUP($A159,Sheet3!$A:$E,4,FALSE),"")</f>
        <v>2025-02-18T13:46:21.000Z</v>
      </c>
      <c r="M159" t="str">
        <f>IFERROR(VLOOKUP($A159,Sheet3!$A:$E,5,FALSE),"")</f>
        <v>2025-06-02T05:08:25.000Z</v>
      </c>
      <c r="N159" s="4">
        <f t="shared" si="5"/>
        <v>446</v>
      </c>
      <c r="O159" t="s">
        <v>2809</v>
      </c>
    </row>
    <row r="160" spans="1:15" x14ac:dyDescent="0.25">
      <c r="A160" t="s">
        <v>766</v>
      </c>
      <c r="B160" t="s">
        <v>318</v>
      </c>
      <c r="C160" t="s">
        <v>29</v>
      </c>
      <c r="D160" t="s">
        <v>319</v>
      </c>
      <c r="E160" t="s">
        <v>320</v>
      </c>
      <c r="F160" t="s">
        <v>767</v>
      </c>
      <c r="G160" s="4">
        <f t="shared" si="4"/>
        <v>1391.65</v>
      </c>
      <c r="H160" t="s">
        <v>768</v>
      </c>
      <c r="I160" t="str">
        <f>VLOOKUP(C160,Customers!A:B,2,FALSE)</f>
        <v>2023:11:30</v>
      </c>
      <c r="J160">
        <f>IFERROR(VLOOKUP($A160,Sheet3!$A:$E,2,FALSE),"")</f>
        <v>41</v>
      </c>
      <c r="K160" t="str">
        <f>IFERROR(VLOOKUP($A160,Sheet3!$A:$E,3,FALSE),"")</f>
        <v>11</v>
      </c>
      <c r="L160" t="str">
        <f>IFERROR(VLOOKUP($A160,Sheet3!$A:$E,4,FALSE),"")</f>
        <v>2024-06-12T08:54:47.000Z</v>
      </c>
      <c r="M160" t="str">
        <f>IFERROR(VLOOKUP($A160,Sheet3!$A:$E,5,FALSE),"")</f>
        <v>2025-12-22T11:30:20.000Z</v>
      </c>
      <c r="N160" s="4">
        <f t="shared" si="5"/>
        <v>195</v>
      </c>
      <c r="O160" t="s">
        <v>2808</v>
      </c>
    </row>
    <row r="161" spans="1:15" x14ac:dyDescent="0.25">
      <c r="A161" t="s">
        <v>769</v>
      </c>
      <c r="B161" t="s">
        <v>318</v>
      </c>
      <c r="C161" t="s">
        <v>29</v>
      </c>
      <c r="D161" t="s">
        <v>319</v>
      </c>
      <c r="E161" t="s">
        <v>320</v>
      </c>
      <c r="F161" t="s">
        <v>770</v>
      </c>
      <c r="G161" s="4">
        <f t="shared" si="4"/>
        <v>1334.55</v>
      </c>
      <c r="H161" t="s">
        <v>771</v>
      </c>
      <c r="I161" t="str">
        <f>VLOOKUP(C161,Customers!A:B,2,FALSE)</f>
        <v>2023:11:30</v>
      </c>
      <c r="J161">
        <f>IFERROR(VLOOKUP($A161,Sheet3!$A:$E,2,FALSE),"")</f>
        <v>11</v>
      </c>
      <c r="K161" t="str">
        <f>IFERROR(VLOOKUP($A161,Sheet3!$A:$E,3,FALSE),"")</f>
        <v>8</v>
      </c>
      <c r="L161" t="str">
        <f>IFERROR(VLOOKUP($A161,Sheet3!$A:$E,4,FALSE),"")</f>
        <v>2024-06-21T10:19:02.000Z</v>
      </c>
      <c r="M161" t="str">
        <f>IFERROR(VLOOKUP($A161,Sheet3!$A:$E,5,FALSE),"")</f>
        <v>2024-11-07T08:58:17.000Z</v>
      </c>
      <c r="N161" s="4">
        <f t="shared" si="5"/>
        <v>204</v>
      </c>
      <c r="O161" t="s">
        <v>2809</v>
      </c>
    </row>
    <row r="162" spans="1:15" x14ac:dyDescent="0.25">
      <c r="A162" t="s">
        <v>772</v>
      </c>
      <c r="B162" t="s">
        <v>318</v>
      </c>
      <c r="C162" t="s">
        <v>29</v>
      </c>
      <c r="D162" t="s">
        <v>319</v>
      </c>
      <c r="E162" t="s">
        <v>320</v>
      </c>
      <c r="F162" t="s">
        <v>773</v>
      </c>
      <c r="G162" s="4">
        <f t="shared" si="4"/>
        <v>117.88333333333334</v>
      </c>
      <c r="H162" t="s">
        <v>774</v>
      </c>
      <c r="I162" t="str">
        <f>VLOOKUP(C162,Customers!A:B,2,FALSE)</f>
        <v>2023:11:30</v>
      </c>
      <c r="J162">
        <f>IFERROR(VLOOKUP($A162,Sheet3!$A:$E,2,FALSE),"")</f>
        <v>26</v>
      </c>
      <c r="K162" t="str">
        <f>IFERROR(VLOOKUP($A162,Sheet3!$A:$E,3,FALSE),"")</f>
        <v>8</v>
      </c>
      <c r="L162" t="str">
        <f>IFERROR(VLOOKUP($A162,Sheet3!$A:$E,4,FALSE),"")</f>
        <v>2024-05-24T13:58:53.000Z</v>
      </c>
      <c r="M162" t="str">
        <f>IFERROR(VLOOKUP($A162,Sheet3!$A:$E,5,FALSE),"")</f>
        <v>2026-02-03T07:19:17.000Z</v>
      </c>
      <c r="N162" s="4">
        <f t="shared" si="5"/>
        <v>176</v>
      </c>
      <c r="O162" t="s">
        <v>2808</v>
      </c>
    </row>
    <row r="163" spans="1:15" x14ac:dyDescent="0.25">
      <c r="A163" t="s">
        <v>775</v>
      </c>
      <c r="B163" t="s">
        <v>318</v>
      </c>
      <c r="C163" t="s">
        <v>29</v>
      </c>
      <c r="D163" t="s">
        <v>319</v>
      </c>
      <c r="E163" t="s">
        <v>320</v>
      </c>
      <c r="F163" t="s">
        <v>776</v>
      </c>
      <c r="G163" s="4">
        <f t="shared" si="4"/>
        <v>645.29999999999995</v>
      </c>
      <c r="H163" t="s">
        <v>777</v>
      </c>
      <c r="I163" t="str">
        <f>VLOOKUP(C163,Customers!A:B,2,FALSE)</f>
        <v>2023:11:30</v>
      </c>
      <c r="J163">
        <f>IFERROR(VLOOKUP($A163,Sheet3!$A:$E,2,FALSE),"")</f>
        <v>16</v>
      </c>
      <c r="K163" t="str">
        <f>IFERROR(VLOOKUP($A163,Sheet3!$A:$E,3,FALSE),"")</f>
        <v>2</v>
      </c>
      <c r="L163" t="str">
        <f>IFERROR(VLOOKUP($A163,Sheet3!$A:$E,4,FALSE),"")</f>
        <v>2024-05-04T05:15:05.000Z</v>
      </c>
      <c r="M163" t="str">
        <f>IFERROR(VLOOKUP($A163,Sheet3!$A:$E,5,FALSE),"")</f>
        <v>2025-06-29T06:10:15.000Z</v>
      </c>
      <c r="N163" s="4">
        <f t="shared" si="5"/>
        <v>156</v>
      </c>
      <c r="O163" t="s">
        <v>2809</v>
      </c>
    </row>
    <row r="164" spans="1:15" x14ac:dyDescent="0.25">
      <c r="A164" t="s">
        <v>778</v>
      </c>
      <c r="B164" t="s">
        <v>318</v>
      </c>
      <c r="C164" t="s">
        <v>29</v>
      </c>
      <c r="D164" t="s">
        <v>319</v>
      </c>
      <c r="E164" t="s">
        <v>320</v>
      </c>
      <c r="F164" t="s">
        <v>779</v>
      </c>
      <c r="G164" s="4">
        <f t="shared" si="4"/>
        <v>860</v>
      </c>
      <c r="H164" t="s">
        <v>780</v>
      </c>
      <c r="I164" t="str">
        <f>VLOOKUP(C164,Customers!A:B,2,FALSE)</f>
        <v>2023:11:30</v>
      </c>
      <c r="J164">
        <f>IFERROR(VLOOKUP($A164,Sheet3!$A:$E,2,FALSE),"")</f>
        <v>15</v>
      </c>
      <c r="K164" t="str">
        <f>IFERROR(VLOOKUP($A164,Sheet3!$A:$E,3,FALSE),"")</f>
        <v>8</v>
      </c>
      <c r="L164" t="str">
        <f>IFERROR(VLOOKUP($A164,Sheet3!$A:$E,4,FALSE),"")</f>
        <v>2024-05-29T06:41:22.000Z</v>
      </c>
      <c r="M164" t="str">
        <f>IFERROR(VLOOKUP($A164,Sheet3!$A:$E,5,FALSE),"")</f>
        <v>2026-04-03T14:24:19.000Z</v>
      </c>
      <c r="N164" s="4">
        <f t="shared" si="5"/>
        <v>181</v>
      </c>
      <c r="O164" t="s">
        <v>2808</v>
      </c>
    </row>
    <row r="165" spans="1:15" x14ac:dyDescent="0.25">
      <c r="A165" t="s">
        <v>781</v>
      </c>
      <c r="B165" t="s">
        <v>318</v>
      </c>
      <c r="C165" t="s">
        <v>29</v>
      </c>
      <c r="D165" t="s">
        <v>319</v>
      </c>
      <c r="E165" t="s">
        <v>320</v>
      </c>
      <c r="F165" t="s">
        <v>782</v>
      </c>
      <c r="G165" s="4">
        <f t="shared" si="4"/>
        <v>9.1166666666666671</v>
      </c>
      <c r="H165" t="s">
        <v>783</v>
      </c>
      <c r="I165" t="str">
        <f>VLOOKUP(C165,Customers!A:B,2,FALSE)</f>
        <v>2023:11:30</v>
      </c>
      <c r="J165">
        <f>IFERROR(VLOOKUP($A165,Sheet3!$A:$E,2,FALSE),"")</f>
        <v>21</v>
      </c>
      <c r="K165" t="str">
        <f>IFERROR(VLOOKUP($A165,Sheet3!$A:$E,3,FALSE),"")</f>
        <v>0</v>
      </c>
      <c r="L165" t="str">
        <f>IFERROR(VLOOKUP($A165,Sheet3!$A:$E,4,FALSE),"")</f>
        <v>2024-05-30T10:02:57.000Z</v>
      </c>
      <c r="M165" t="str">
        <f>IFERROR(VLOOKUP($A165,Sheet3!$A:$E,5,FALSE),"")</f>
        <v>2026-03-28T05:58:43.000Z</v>
      </c>
      <c r="N165" s="4">
        <f t="shared" si="5"/>
        <v>182</v>
      </c>
      <c r="O165" t="s">
        <v>2809</v>
      </c>
    </row>
    <row r="166" spans="1:15" x14ac:dyDescent="0.25">
      <c r="A166" t="s">
        <v>784</v>
      </c>
      <c r="B166" t="s">
        <v>318</v>
      </c>
      <c r="C166" t="s">
        <v>29</v>
      </c>
      <c r="D166" t="s">
        <v>319</v>
      </c>
      <c r="E166" t="s">
        <v>320</v>
      </c>
      <c r="F166" t="s">
        <v>785</v>
      </c>
      <c r="G166" s="4">
        <f t="shared" si="4"/>
        <v>604.86666666666667</v>
      </c>
      <c r="H166" t="s">
        <v>786</v>
      </c>
      <c r="I166" t="str">
        <f>VLOOKUP(C166,Customers!A:B,2,FALSE)</f>
        <v>2023:11:30</v>
      </c>
      <c r="J166">
        <f>IFERROR(VLOOKUP($A166,Sheet3!$A:$E,2,FALSE),"")</f>
        <v>9</v>
      </c>
      <c r="K166" t="str">
        <f>IFERROR(VLOOKUP($A166,Sheet3!$A:$E,3,FALSE),"")</f>
        <v>1</v>
      </c>
      <c r="L166" t="str">
        <f>IFERROR(VLOOKUP($A166,Sheet3!$A:$E,4,FALSE),"")</f>
        <v>2024-05-28T08:52:31.000Z</v>
      </c>
      <c r="M166" t="str">
        <f>IFERROR(VLOOKUP($A166,Sheet3!$A:$E,5,FALSE),"")</f>
        <v>2026-01-25T08:27:48.000Z</v>
      </c>
      <c r="N166" s="4">
        <f t="shared" si="5"/>
        <v>180</v>
      </c>
      <c r="O166" t="s">
        <v>2808</v>
      </c>
    </row>
    <row r="167" spans="1:15" x14ac:dyDescent="0.25">
      <c r="A167" t="s">
        <v>787</v>
      </c>
      <c r="B167" t="s">
        <v>318</v>
      </c>
      <c r="C167" t="s">
        <v>29</v>
      </c>
      <c r="D167" t="s">
        <v>319</v>
      </c>
      <c r="E167" t="s">
        <v>320</v>
      </c>
      <c r="F167" t="s">
        <v>788</v>
      </c>
      <c r="G167" s="4">
        <f t="shared" si="4"/>
        <v>1382.65</v>
      </c>
      <c r="H167" t="s">
        <v>789</v>
      </c>
      <c r="I167" t="str">
        <f>VLOOKUP(C167,Customers!A:B,2,FALSE)</f>
        <v>2023:11:30</v>
      </c>
      <c r="J167">
        <f>IFERROR(VLOOKUP($A167,Sheet3!$A:$E,2,FALSE),"")</f>
        <v>29</v>
      </c>
      <c r="K167" t="str">
        <f>IFERROR(VLOOKUP($A167,Sheet3!$A:$E,3,FALSE),"")</f>
        <v>12</v>
      </c>
      <c r="L167" t="str">
        <f>IFERROR(VLOOKUP($A167,Sheet3!$A:$E,4,FALSE),"")</f>
        <v>2024-08-03T11:05:22.000Z</v>
      </c>
      <c r="M167" t="str">
        <f>IFERROR(VLOOKUP($A167,Sheet3!$A:$E,5,FALSE),"")</f>
        <v>2026-03-02T11:42:48.000Z</v>
      </c>
      <c r="N167" s="4">
        <f t="shared" si="5"/>
        <v>247</v>
      </c>
      <c r="O167" t="s">
        <v>2809</v>
      </c>
    </row>
    <row r="168" spans="1:15" x14ac:dyDescent="0.25">
      <c r="A168" t="s">
        <v>790</v>
      </c>
      <c r="B168" t="s">
        <v>318</v>
      </c>
      <c r="C168" t="s">
        <v>29</v>
      </c>
      <c r="D168" t="s">
        <v>319</v>
      </c>
      <c r="E168" t="s">
        <v>320</v>
      </c>
      <c r="F168" t="s">
        <v>791</v>
      </c>
      <c r="G168" s="4">
        <f t="shared" si="4"/>
        <v>1248.0166666666667</v>
      </c>
      <c r="H168" t="s">
        <v>792</v>
      </c>
      <c r="I168" t="str">
        <f>VLOOKUP(C168,Customers!A:B,2,FALSE)</f>
        <v>2023:11:30</v>
      </c>
      <c r="J168">
        <f>IFERROR(VLOOKUP($A168,Sheet3!$A:$E,2,FALSE),"")</f>
        <v>20</v>
      </c>
      <c r="K168" t="str">
        <f>IFERROR(VLOOKUP($A168,Sheet3!$A:$E,3,FALSE),"")</f>
        <v>0</v>
      </c>
      <c r="L168" t="str">
        <f>IFERROR(VLOOKUP($A168,Sheet3!$A:$E,4,FALSE),"")</f>
        <v>2024-05-28T07:46:14.000Z</v>
      </c>
      <c r="M168" t="str">
        <f>IFERROR(VLOOKUP($A168,Sheet3!$A:$E,5,FALSE),"")</f>
        <v>2025-11-04T05:37:37.000Z</v>
      </c>
      <c r="N168" s="4">
        <f t="shared" si="5"/>
        <v>180</v>
      </c>
      <c r="O168" t="s">
        <v>2808</v>
      </c>
    </row>
    <row r="169" spans="1:15" x14ac:dyDescent="0.25">
      <c r="A169" t="s">
        <v>793</v>
      </c>
      <c r="B169" t="s">
        <v>318</v>
      </c>
      <c r="C169" t="s">
        <v>29</v>
      </c>
      <c r="D169" t="s">
        <v>319</v>
      </c>
      <c r="E169" t="s">
        <v>320</v>
      </c>
      <c r="F169" t="s">
        <v>794</v>
      </c>
      <c r="G169" s="4">
        <f t="shared" si="4"/>
        <v>161.96666666666667</v>
      </c>
      <c r="H169" t="s">
        <v>795</v>
      </c>
      <c r="I169" t="str">
        <f>VLOOKUP(C169,Customers!A:B,2,FALSE)</f>
        <v>2023:11:30</v>
      </c>
      <c r="J169">
        <f>IFERROR(VLOOKUP($A169,Sheet3!$A:$E,2,FALSE),"")</f>
        <v>2</v>
      </c>
      <c r="K169" t="str">
        <f>IFERROR(VLOOKUP($A169,Sheet3!$A:$E,3,FALSE),"")</f>
        <v>0</v>
      </c>
      <c r="L169" t="str">
        <f>IFERROR(VLOOKUP($A169,Sheet3!$A:$E,4,FALSE),"")</f>
        <v>2024-05-31T06:31:38.000Z</v>
      </c>
      <c r="M169" t="str">
        <f>IFERROR(VLOOKUP($A169,Sheet3!$A:$E,5,FALSE),"")</f>
        <v>2025-06-21T04:33:32.000Z</v>
      </c>
      <c r="N169" s="4">
        <f t="shared" si="5"/>
        <v>183</v>
      </c>
      <c r="O169" t="s">
        <v>2809</v>
      </c>
    </row>
    <row r="170" spans="1:15" x14ac:dyDescent="0.25">
      <c r="A170" t="s">
        <v>796</v>
      </c>
      <c r="B170" t="s">
        <v>318</v>
      </c>
      <c r="C170" t="s">
        <v>29</v>
      </c>
      <c r="D170" t="s">
        <v>319</v>
      </c>
      <c r="E170" t="s">
        <v>320</v>
      </c>
      <c r="F170" t="s">
        <v>797</v>
      </c>
      <c r="G170" s="4">
        <f t="shared" si="4"/>
        <v>784.3</v>
      </c>
      <c r="H170" t="s">
        <v>798</v>
      </c>
      <c r="I170" t="str">
        <f>VLOOKUP(C170,Customers!A:B,2,FALSE)</f>
        <v>2023:11:30</v>
      </c>
      <c r="J170">
        <f>IFERROR(VLOOKUP($A170,Sheet3!$A:$E,2,FALSE),"")</f>
        <v>17</v>
      </c>
      <c r="K170" t="str">
        <f>IFERROR(VLOOKUP($A170,Sheet3!$A:$E,3,FALSE),"")</f>
        <v>8</v>
      </c>
      <c r="L170" t="str">
        <f>IFERROR(VLOOKUP($A170,Sheet3!$A:$E,4,FALSE),"")</f>
        <v>2024-07-29T04:07:21.000Z</v>
      </c>
      <c r="M170" t="str">
        <f>IFERROR(VLOOKUP($A170,Sheet3!$A:$E,5,FALSE),"")</f>
        <v>2026-02-26T09:52:25.000Z</v>
      </c>
      <c r="N170" s="4">
        <f t="shared" si="5"/>
        <v>242</v>
      </c>
      <c r="O170" t="s">
        <v>2808</v>
      </c>
    </row>
    <row r="171" spans="1:15" x14ac:dyDescent="0.25">
      <c r="A171" t="s">
        <v>799</v>
      </c>
      <c r="B171" t="s">
        <v>318</v>
      </c>
      <c r="C171" t="s">
        <v>29</v>
      </c>
      <c r="D171" t="s">
        <v>319</v>
      </c>
      <c r="E171" t="s">
        <v>320</v>
      </c>
      <c r="F171" t="s">
        <v>800</v>
      </c>
      <c r="G171" s="4">
        <f t="shared" si="4"/>
        <v>17.683333333333334</v>
      </c>
      <c r="H171" t="s">
        <v>801</v>
      </c>
      <c r="I171" t="str">
        <f>VLOOKUP(C171,Customers!A:B,2,FALSE)</f>
        <v>2023:11:30</v>
      </c>
      <c r="J171">
        <f>IFERROR(VLOOKUP($A171,Sheet3!$A:$E,2,FALSE),"")</f>
        <v>18</v>
      </c>
      <c r="K171" t="str">
        <f>IFERROR(VLOOKUP($A171,Sheet3!$A:$E,3,FALSE),"")</f>
        <v>9</v>
      </c>
      <c r="L171" t="str">
        <f>IFERROR(VLOOKUP($A171,Sheet3!$A:$E,4,FALSE),"")</f>
        <v>2024-05-24T07:57:04.000Z</v>
      </c>
      <c r="M171" t="str">
        <f>IFERROR(VLOOKUP($A171,Sheet3!$A:$E,5,FALSE),"")</f>
        <v>2026-01-20T11:10:10.000Z</v>
      </c>
      <c r="N171" s="4">
        <f t="shared" si="5"/>
        <v>176</v>
      </c>
      <c r="O171" t="s">
        <v>2809</v>
      </c>
    </row>
    <row r="172" spans="1:15" x14ac:dyDescent="0.25">
      <c r="A172" t="s">
        <v>802</v>
      </c>
      <c r="B172" t="s">
        <v>318</v>
      </c>
      <c r="C172" t="s">
        <v>29</v>
      </c>
      <c r="D172" t="s">
        <v>319</v>
      </c>
      <c r="E172" t="s">
        <v>320</v>
      </c>
      <c r="F172" t="s">
        <v>803</v>
      </c>
      <c r="G172" s="4">
        <f t="shared" si="4"/>
        <v>550.83333333333337</v>
      </c>
      <c r="H172" t="s">
        <v>804</v>
      </c>
      <c r="I172" t="str">
        <f>VLOOKUP(C172,Customers!A:B,2,FALSE)</f>
        <v>2023:11:30</v>
      </c>
      <c r="J172">
        <f>IFERROR(VLOOKUP($A172,Sheet3!$A:$E,2,FALSE),"")</f>
        <v>7</v>
      </c>
      <c r="K172" t="str">
        <f>IFERROR(VLOOKUP($A172,Sheet3!$A:$E,3,FALSE),"")</f>
        <v>4</v>
      </c>
      <c r="L172" t="str">
        <f>IFERROR(VLOOKUP($A172,Sheet3!$A:$E,4,FALSE),"")</f>
        <v>2024-08-02T09:53:44.000Z</v>
      </c>
      <c r="M172" t="str">
        <f>IFERROR(VLOOKUP($A172,Sheet3!$A:$E,5,FALSE),"")</f>
        <v>2026-01-07T16:48:29.000Z</v>
      </c>
      <c r="N172" s="4">
        <f t="shared" si="5"/>
        <v>246</v>
      </c>
      <c r="O172" t="s">
        <v>2808</v>
      </c>
    </row>
    <row r="173" spans="1:15" x14ac:dyDescent="0.25">
      <c r="A173" t="s">
        <v>805</v>
      </c>
      <c r="B173" t="s">
        <v>318</v>
      </c>
      <c r="C173" t="s">
        <v>29</v>
      </c>
      <c r="D173" t="s">
        <v>319</v>
      </c>
      <c r="E173" t="s">
        <v>320</v>
      </c>
      <c r="F173" t="s">
        <v>806</v>
      </c>
      <c r="G173" s="4">
        <f t="shared" si="4"/>
        <v>577.2166666666667</v>
      </c>
      <c r="H173" t="s">
        <v>807</v>
      </c>
      <c r="I173" t="str">
        <f>VLOOKUP(C173,Customers!A:B,2,FALSE)</f>
        <v>2023:11:30</v>
      </c>
      <c r="J173">
        <f>IFERROR(VLOOKUP($A173,Sheet3!$A:$E,2,FALSE),"")</f>
        <v>10</v>
      </c>
      <c r="K173" t="str">
        <f>IFERROR(VLOOKUP($A173,Sheet3!$A:$E,3,FALSE),"")</f>
        <v>4</v>
      </c>
      <c r="L173" t="str">
        <f>IFERROR(VLOOKUP($A173,Sheet3!$A:$E,4,FALSE),"")</f>
        <v>2024-08-14T06:46:01.000Z</v>
      </c>
      <c r="M173" t="str">
        <f>IFERROR(VLOOKUP($A173,Sheet3!$A:$E,5,FALSE),"")</f>
        <v>2025-08-05T08:32:16.000Z</v>
      </c>
      <c r="N173" s="4">
        <f t="shared" si="5"/>
        <v>258</v>
      </c>
      <c r="O173" t="s">
        <v>2809</v>
      </c>
    </row>
    <row r="174" spans="1:15" x14ac:dyDescent="0.25">
      <c r="A174" t="s">
        <v>808</v>
      </c>
      <c r="B174" t="s">
        <v>318</v>
      </c>
      <c r="C174" t="s">
        <v>29</v>
      </c>
      <c r="D174" t="s">
        <v>319</v>
      </c>
      <c r="E174" t="s">
        <v>320</v>
      </c>
      <c r="F174" t="s">
        <v>809</v>
      </c>
      <c r="G174" s="4">
        <f t="shared" si="4"/>
        <v>1399.3333333333333</v>
      </c>
      <c r="H174" t="s">
        <v>810</v>
      </c>
      <c r="I174" t="str">
        <f>VLOOKUP(C174,Customers!A:B,2,FALSE)</f>
        <v>2023:11:30</v>
      </c>
      <c r="J174">
        <f>IFERROR(VLOOKUP($A174,Sheet3!$A:$E,2,FALSE),"")</f>
        <v>63</v>
      </c>
      <c r="K174" t="str">
        <f>IFERROR(VLOOKUP($A174,Sheet3!$A:$E,3,FALSE),"")</f>
        <v>15</v>
      </c>
      <c r="L174" t="str">
        <f>IFERROR(VLOOKUP($A174,Sheet3!$A:$E,4,FALSE),"")</f>
        <v>2024-05-27T11:13:30.000Z</v>
      </c>
      <c r="M174" t="str">
        <f>IFERROR(VLOOKUP($A174,Sheet3!$A:$E,5,FALSE),"")</f>
        <v>2026-04-17T15:19:25.000Z</v>
      </c>
      <c r="N174" s="4">
        <f t="shared" si="5"/>
        <v>179</v>
      </c>
      <c r="O174" t="s">
        <v>2808</v>
      </c>
    </row>
    <row r="175" spans="1:15" x14ac:dyDescent="0.25">
      <c r="A175" t="s">
        <v>811</v>
      </c>
      <c r="B175" t="s">
        <v>318</v>
      </c>
      <c r="C175" t="s">
        <v>29</v>
      </c>
      <c r="D175" t="s">
        <v>319</v>
      </c>
      <c r="E175" t="s">
        <v>320</v>
      </c>
      <c r="F175" t="s">
        <v>812</v>
      </c>
      <c r="G175" s="4">
        <f t="shared" si="4"/>
        <v>1080.5</v>
      </c>
      <c r="H175" t="s">
        <v>813</v>
      </c>
      <c r="I175" t="str">
        <f>VLOOKUP(C175,Customers!A:B,2,FALSE)</f>
        <v>2023:11:30</v>
      </c>
      <c r="J175">
        <f>IFERROR(VLOOKUP($A175,Sheet3!$A:$E,2,FALSE),"")</f>
        <v>9</v>
      </c>
      <c r="K175" t="str">
        <f>IFERROR(VLOOKUP($A175,Sheet3!$A:$E,3,FALSE),"")</f>
        <v>5</v>
      </c>
      <c r="L175" t="str">
        <f>IFERROR(VLOOKUP($A175,Sheet3!$A:$E,4,FALSE),"")</f>
        <v>2024-08-03T13:15:02.000Z</v>
      </c>
      <c r="M175" t="str">
        <f>IFERROR(VLOOKUP($A175,Sheet3!$A:$E,5,FALSE),"")</f>
        <v>2025-09-26T09:57:24.000Z</v>
      </c>
      <c r="N175" s="4">
        <f t="shared" si="5"/>
        <v>247</v>
      </c>
      <c r="O175" t="s">
        <v>2809</v>
      </c>
    </row>
    <row r="176" spans="1:15" x14ac:dyDescent="0.25">
      <c r="A176" t="s">
        <v>814</v>
      </c>
      <c r="B176" t="s">
        <v>318</v>
      </c>
      <c r="C176" t="s">
        <v>29</v>
      </c>
      <c r="D176" t="s">
        <v>319</v>
      </c>
      <c r="E176" t="s">
        <v>320</v>
      </c>
      <c r="F176" t="s">
        <v>815</v>
      </c>
      <c r="G176" s="4">
        <f t="shared" si="4"/>
        <v>149.93333333333334</v>
      </c>
      <c r="H176" t="s">
        <v>198</v>
      </c>
      <c r="I176" t="str">
        <f>VLOOKUP(C176,Customers!A:B,2,FALSE)</f>
        <v>2023:11:30</v>
      </c>
      <c r="J176">
        <f>IFERROR(VLOOKUP($A176,Sheet3!$A:$E,2,FALSE),"")</f>
        <v>6</v>
      </c>
      <c r="K176" t="str">
        <f>IFERROR(VLOOKUP($A176,Sheet3!$A:$E,3,FALSE),"")</f>
        <v>3</v>
      </c>
      <c r="L176" t="str">
        <f>IFERROR(VLOOKUP($A176,Sheet3!$A:$E,4,FALSE),"")</f>
        <v>2024-06-01T05:50:40.000Z</v>
      </c>
      <c r="M176" t="str">
        <f>IFERROR(VLOOKUP($A176,Sheet3!$A:$E,5,FALSE),"")</f>
        <v>2026-01-14T09:49:40.000Z</v>
      </c>
      <c r="N176" s="4">
        <f t="shared" si="5"/>
        <v>184</v>
      </c>
      <c r="O176" t="s">
        <v>2808</v>
      </c>
    </row>
    <row r="177" spans="1:15" x14ac:dyDescent="0.25">
      <c r="A177" t="s">
        <v>816</v>
      </c>
      <c r="B177" t="s">
        <v>318</v>
      </c>
      <c r="C177" t="s">
        <v>29</v>
      </c>
      <c r="D177" t="s">
        <v>319</v>
      </c>
      <c r="E177" t="s">
        <v>320</v>
      </c>
      <c r="F177" t="s">
        <v>817</v>
      </c>
      <c r="G177" s="4">
        <f t="shared" si="4"/>
        <v>900.25</v>
      </c>
      <c r="H177" t="s">
        <v>818</v>
      </c>
      <c r="I177" t="str">
        <f>VLOOKUP(C177,Customers!A:B,2,FALSE)</f>
        <v>2023:11:30</v>
      </c>
      <c r="J177">
        <f>IFERROR(VLOOKUP($A177,Sheet3!$A:$E,2,FALSE),"")</f>
        <v>36</v>
      </c>
      <c r="K177" t="str">
        <f>IFERROR(VLOOKUP($A177,Sheet3!$A:$E,3,FALSE),"")</f>
        <v>21</v>
      </c>
      <c r="L177" t="str">
        <f>IFERROR(VLOOKUP($A177,Sheet3!$A:$E,4,FALSE),"")</f>
        <v>2024-05-21T07:39:30.000Z</v>
      </c>
      <c r="M177" t="str">
        <f>IFERROR(VLOOKUP($A177,Sheet3!$A:$E,5,FALSE),"")</f>
        <v>2026-01-19T13:38:53.000Z</v>
      </c>
      <c r="N177" s="4">
        <f t="shared" si="5"/>
        <v>173</v>
      </c>
      <c r="O177" t="s">
        <v>2809</v>
      </c>
    </row>
    <row r="178" spans="1:15" x14ac:dyDescent="0.25">
      <c r="A178" t="s">
        <v>819</v>
      </c>
      <c r="B178" t="s">
        <v>318</v>
      </c>
      <c r="C178" t="s">
        <v>29</v>
      </c>
      <c r="D178" t="s">
        <v>319</v>
      </c>
      <c r="E178" t="s">
        <v>320</v>
      </c>
      <c r="F178" t="s">
        <v>820</v>
      </c>
      <c r="G178" s="4">
        <f t="shared" si="4"/>
        <v>500.48333333333335</v>
      </c>
      <c r="H178" t="s">
        <v>821</v>
      </c>
      <c r="I178" t="str">
        <f>VLOOKUP(C178,Customers!A:B,2,FALSE)</f>
        <v>2023:11:30</v>
      </c>
      <c r="J178">
        <f>IFERROR(VLOOKUP($A178,Sheet3!$A:$E,2,FALSE),"")</f>
        <v>32</v>
      </c>
      <c r="K178" t="str">
        <f>IFERROR(VLOOKUP($A178,Sheet3!$A:$E,3,FALSE),"")</f>
        <v>5</v>
      </c>
      <c r="L178" t="str">
        <f>IFERROR(VLOOKUP($A178,Sheet3!$A:$E,4,FALSE),"")</f>
        <v>2024-08-07T08:34:31.000Z</v>
      </c>
      <c r="M178" t="str">
        <f>IFERROR(VLOOKUP($A178,Sheet3!$A:$E,5,FALSE),"")</f>
        <v>2026-01-08T10:29:56.000Z</v>
      </c>
      <c r="N178" s="4">
        <f t="shared" si="5"/>
        <v>251</v>
      </c>
      <c r="O178" t="s">
        <v>2808</v>
      </c>
    </row>
    <row r="179" spans="1:15" x14ac:dyDescent="0.25">
      <c r="A179" t="s">
        <v>822</v>
      </c>
      <c r="B179" t="s">
        <v>318</v>
      </c>
      <c r="C179" t="s">
        <v>29</v>
      </c>
      <c r="D179" t="s">
        <v>319</v>
      </c>
      <c r="E179" t="s">
        <v>320</v>
      </c>
      <c r="F179" t="s">
        <v>823</v>
      </c>
      <c r="G179" s="4">
        <f t="shared" si="4"/>
        <v>1175.3166666666666</v>
      </c>
      <c r="H179" t="s">
        <v>824</v>
      </c>
      <c r="I179" t="str">
        <f>VLOOKUP(C179,Customers!A:B,2,FALSE)</f>
        <v>2023:11:30</v>
      </c>
      <c r="J179">
        <f>IFERROR(VLOOKUP($A179,Sheet3!$A:$E,2,FALSE),"")</f>
        <v>18</v>
      </c>
      <c r="K179" t="str">
        <f>IFERROR(VLOOKUP($A179,Sheet3!$A:$E,3,FALSE),"")</f>
        <v>0</v>
      </c>
      <c r="L179" t="str">
        <f>IFERROR(VLOOKUP($A179,Sheet3!$A:$E,4,FALSE),"")</f>
        <v>2024-06-15T05:53:18.000Z</v>
      </c>
      <c r="M179" t="str">
        <f>IFERROR(VLOOKUP($A179,Sheet3!$A:$E,5,FALSE),"")</f>
        <v>2025-12-10T09:30:08.000Z</v>
      </c>
      <c r="N179" s="4">
        <f t="shared" si="5"/>
        <v>198</v>
      </c>
      <c r="O179" t="s">
        <v>2809</v>
      </c>
    </row>
    <row r="180" spans="1:15" x14ac:dyDescent="0.25">
      <c r="A180" t="s">
        <v>825</v>
      </c>
      <c r="B180" t="s">
        <v>318</v>
      </c>
      <c r="C180" t="s">
        <v>29</v>
      </c>
      <c r="D180" t="s">
        <v>319</v>
      </c>
      <c r="E180" t="s">
        <v>320</v>
      </c>
      <c r="F180" t="s">
        <v>826</v>
      </c>
      <c r="G180" s="4">
        <f t="shared" si="4"/>
        <v>778.81666666666672</v>
      </c>
      <c r="H180" t="s">
        <v>827</v>
      </c>
      <c r="I180" t="str">
        <f>VLOOKUP(C180,Customers!A:B,2,FALSE)</f>
        <v>2023:11:30</v>
      </c>
      <c r="J180">
        <f>IFERROR(VLOOKUP($A180,Sheet3!$A:$E,2,FALSE),"")</f>
        <v>21</v>
      </c>
      <c r="K180" t="str">
        <f>IFERROR(VLOOKUP($A180,Sheet3!$A:$E,3,FALSE),"")</f>
        <v>7</v>
      </c>
      <c r="L180" t="str">
        <f>IFERROR(VLOOKUP($A180,Sheet3!$A:$E,4,FALSE),"")</f>
        <v>2024-07-13T07:13:18.000Z</v>
      </c>
      <c r="M180" t="str">
        <f>IFERROR(VLOOKUP($A180,Sheet3!$A:$E,5,FALSE),"")</f>
        <v>2025-12-27T02:19:33.000Z</v>
      </c>
      <c r="N180" s="4">
        <f t="shared" si="5"/>
        <v>226</v>
      </c>
      <c r="O180" t="s">
        <v>2808</v>
      </c>
    </row>
    <row r="181" spans="1:15" x14ac:dyDescent="0.25">
      <c r="A181" t="s">
        <v>828</v>
      </c>
      <c r="B181" t="s">
        <v>318</v>
      </c>
      <c r="C181" t="s">
        <v>44</v>
      </c>
      <c r="D181" t="s">
        <v>829</v>
      </c>
      <c r="E181" t="s">
        <v>830</v>
      </c>
      <c r="F181" t="s">
        <v>316</v>
      </c>
      <c r="G181" s="4" t="str">
        <f t="shared" si="4"/>
        <v/>
      </c>
      <c r="H181" t="s">
        <v>198</v>
      </c>
      <c r="I181" t="str">
        <f>VLOOKUP(C181,Customers!A:B,2,FALSE)</f>
        <v>2024:05:21</v>
      </c>
      <c r="J181">
        <f>IFERROR(VLOOKUP($A181,Sheet3!$A:$E,2,FALSE),"")</f>
        <v>5</v>
      </c>
      <c r="K181" t="str">
        <f>IFERROR(VLOOKUP($A181,Sheet3!$A:$E,3,FALSE),"")</f>
        <v>0</v>
      </c>
      <c r="L181" t="str">
        <f>IFERROR(VLOOKUP($A181,Sheet3!$A:$E,4,FALSE),"")</f>
        <v>2024-03-14T06:20:58.000Z</v>
      </c>
      <c r="M181" t="str">
        <f>IFERROR(VLOOKUP($A181,Sheet3!$A:$E,5,FALSE),"")</f>
        <v>2024-06-15T08:55:55.000Z</v>
      </c>
      <c r="N181" s="4">
        <f t="shared" si="5"/>
        <v>-68</v>
      </c>
      <c r="O181" t="s">
        <v>2809</v>
      </c>
    </row>
    <row r="182" spans="1:15" x14ac:dyDescent="0.25">
      <c r="A182" t="s">
        <v>831</v>
      </c>
      <c r="B182" t="s">
        <v>318</v>
      </c>
      <c r="C182" t="s">
        <v>29</v>
      </c>
      <c r="D182" t="s">
        <v>319</v>
      </c>
      <c r="E182" t="s">
        <v>320</v>
      </c>
      <c r="F182" t="s">
        <v>832</v>
      </c>
      <c r="G182" s="4">
        <f t="shared" si="4"/>
        <v>789.88333333333333</v>
      </c>
      <c r="H182" t="s">
        <v>833</v>
      </c>
      <c r="I182" t="str">
        <f>VLOOKUP(C182,Customers!A:B,2,FALSE)</f>
        <v>2023:11:30</v>
      </c>
      <c r="J182">
        <f>IFERROR(VLOOKUP($A182,Sheet3!$A:$E,2,FALSE),"")</f>
        <v>20</v>
      </c>
      <c r="K182" t="str">
        <f>IFERROR(VLOOKUP($A182,Sheet3!$A:$E,3,FALSE),"")</f>
        <v>0</v>
      </c>
      <c r="L182" t="str">
        <f>IFERROR(VLOOKUP($A182,Sheet3!$A:$E,4,FALSE),"")</f>
        <v>2024-05-06T06:01:00.000Z</v>
      </c>
      <c r="M182" t="str">
        <f>IFERROR(VLOOKUP($A182,Sheet3!$A:$E,5,FALSE),"")</f>
        <v>2026-02-05T13:34:45.000Z</v>
      </c>
      <c r="N182" s="4">
        <f t="shared" si="5"/>
        <v>158</v>
      </c>
      <c r="O182" t="s">
        <v>2808</v>
      </c>
    </row>
    <row r="183" spans="1:15" x14ac:dyDescent="0.25">
      <c r="A183" t="s">
        <v>834</v>
      </c>
      <c r="B183" t="s">
        <v>318</v>
      </c>
      <c r="C183" t="s">
        <v>29</v>
      </c>
      <c r="D183" t="s">
        <v>319</v>
      </c>
      <c r="E183" t="s">
        <v>320</v>
      </c>
      <c r="F183" t="s">
        <v>835</v>
      </c>
      <c r="G183" s="4">
        <f t="shared" si="4"/>
        <v>1198.4333333333334</v>
      </c>
      <c r="H183" t="s">
        <v>836</v>
      </c>
      <c r="I183" t="str">
        <f>VLOOKUP(C183,Customers!A:B,2,FALSE)</f>
        <v>2023:11:30</v>
      </c>
      <c r="J183">
        <f>IFERROR(VLOOKUP($A183,Sheet3!$A:$E,2,FALSE),"")</f>
        <v>30</v>
      </c>
      <c r="K183" t="str">
        <f>IFERROR(VLOOKUP($A183,Sheet3!$A:$E,3,FALSE),"")</f>
        <v>10</v>
      </c>
      <c r="L183" t="str">
        <f>IFERROR(VLOOKUP($A183,Sheet3!$A:$E,4,FALSE),"")</f>
        <v>2024-06-12T08:54:52.000Z</v>
      </c>
      <c r="M183" t="str">
        <f>IFERROR(VLOOKUP($A183,Sheet3!$A:$E,5,FALSE),"")</f>
        <v>2026-01-31T07:19:40.000Z</v>
      </c>
      <c r="N183" s="4">
        <f t="shared" si="5"/>
        <v>195</v>
      </c>
      <c r="O183" t="s">
        <v>2809</v>
      </c>
    </row>
    <row r="184" spans="1:15" x14ac:dyDescent="0.25">
      <c r="A184" t="s">
        <v>837</v>
      </c>
      <c r="B184" t="s">
        <v>318</v>
      </c>
      <c r="C184" t="s">
        <v>29</v>
      </c>
      <c r="D184" t="s">
        <v>319</v>
      </c>
      <c r="E184" t="s">
        <v>320</v>
      </c>
      <c r="F184" t="s">
        <v>838</v>
      </c>
      <c r="G184" s="4">
        <f t="shared" si="4"/>
        <v>753.85</v>
      </c>
      <c r="H184" t="s">
        <v>198</v>
      </c>
      <c r="I184" t="str">
        <f>VLOOKUP(C184,Customers!A:B,2,FALSE)</f>
        <v>2023:11:30</v>
      </c>
      <c r="J184">
        <f>IFERROR(VLOOKUP($A184,Sheet3!$A:$E,2,FALSE),"")</f>
        <v>3</v>
      </c>
      <c r="K184" t="str">
        <f>IFERROR(VLOOKUP($A184,Sheet3!$A:$E,3,FALSE),"")</f>
        <v>0</v>
      </c>
      <c r="L184" t="str">
        <f>IFERROR(VLOOKUP($A184,Sheet3!$A:$E,4,FALSE),"")</f>
        <v>2024-05-13T08:20:35.000Z</v>
      </c>
      <c r="M184" t="str">
        <f>IFERROR(VLOOKUP($A184,Sheet3!$A:$E,5,FALSE),"")</f>
        <v>2026-01-09T08:06:10.000Z</v>
      </c>
      <c r="N184" s="4">
        <f t="shared" si="5"/>
        <v>165</v>
      </c>
      <c r="O184" t="s">
        <v>2808</v>
      </c>
    </row>
    <row r="185" spans="1:15" x14ac:dyDescent="0.25">
      <c r="A185" t="s">
        <v>839</v>
      </c>
      <c r="B185" t="s">
        <v>318</v>
      </c>
      <c r="C185" t="s">
        <v>29</v>
      </c>
      <c r="D185" t="s">
        <v>319</v>
      </c>
      <c r="E185" t="s">
        <v>320</v>
      </c>
      <c r="F185" t="s">
        <v>840</v>
      </c>
      <c r="G185" s="4">
        <f t="shared" si="4"/>
        <v>209.08333333333334</v>
      </c>
      <c r="H185" t="s">
        <v>841</v>
      </c>
      <c r="I185" t="str">
        <f>VLOOKUP(C185,Customers!A:B,2,FALSE)</f>
        <v>2023:11:30</v>
      </c>
      <c r="J185">
        <f>IFERROR(VLOOKUP($A185,Sheet3!$A:$E,2,FALSE),"")</f>
        <v>11</v>
      </c>
      <c r="K185" t="str">
        <f>IFERROR(VLOOKUP($A185,Sheet3!$A:$E,3,FALSE),"")</f>
        <v>2</v>
      </c>
      <c r="L185" t="str">
        <f>IFERROR(VLOOKUP($A185,Sheet3!$A:$E,4,FALSE),"")</f>
        <v>2024-05-18T04:11:14.000Z</v>
      </c>
      <c r="M185" t="str">
        <f>IFERROR(VLOOKUP($A185,Sheet3!$A:$E,5,FALSE),"")</f>
        <v>2025-12-09T10:05:43.000Z</v>
      </c>
      <c r="N185" s="4">
        <f t="shared" si="5"/>
        <v>170</v>
      </c>
      <c r="O185" t="s">
        <v>2809</v>
      </c>
    </row>
    <row r="186" spans="1:15" x14ac:dyDescent="0.25">
      <c r="A186" t="s">
        <v>842</v>
      </c>
      <c r="B186" t="s">
        <v>318</v>
      </c>
      <c r="C186" t="s">
        <v>29</v>
      </c>
      <c r="D186" t="s">
        <v>319</v>
      </c>
      <c r="E186" t="s">
        <v>320</v>
      </c>
      <c r="F186" t="s">
        <v>316</v>
      </c>
      <c r="G186" s="4" t="str">
        <f t="shared" si="4"/>
        <v/>
      </c>
      <c r="H186" t="s">
        <v>198</v>
      </c>
      <c r="I186" t="str">
        <f>VLOOKUP(C186,Customers!A:B,2,FALSE)</f>
        <v>2023:11:30</v>
      </c>
      <c r="J186">
        <f>IFERROR(VLOOKUP($A186,Sheet3!$A:$E,2,FALSE),"")</f>
        <v>2</v>
      </c>
      <c r="K186" t="str">
        <f>IFERROR(VLOOKUP($A186,Sheet3!$A:$E,3,FALSE),"")</f>
        <v>0</v>
      </c>
      <c r="L186" t="str">
        <f>IFERROR(VLOOKUP($A186,Sheet3!$A:$E,4,FALSE),"")</f>
        <v>2024-05-02T03:41:55.000Z</v>
      </c>
      <c r="M186" t="str">
        <f>IFERROR(VLOOKUP($A186,Sheet3!$A:$E,5,FALSE),"")</f>
        <v>2024-05-03T06:48:50.000Z</v>
      </c>
      <c r="N186" s="4">
        <f t="shared" si="5"/>
        <v>154</v>
      </c>
      <c r="O186" t="s">
        <v>2808</v>
      </c>
    </row>
    <row r="187" spans="1:15" x14ac:dyDescent="0.25">
      <c r="A187" t="s">
        <v>843</v>
      </c>
      <c r="B187" t="s">
        <v>318</v>
      </c>
      <c r="C187" t="s">
        <v>29</v>
      </c>
      <c r="D187" t="s">
        <v>319</v>
      </c>
      <c r="E187" t="s">
        <v>320</v>
      </c>
      <c r="F187" t="s">
        <v>844</v>
      </c>
      <c r="G187" s="4">
        <f t="shared" si="4"/>
        <v>731.13333333333333</v>
      </c>
      <c r="H187" t="s">
        <v>845</v>
      </c>
      <c r="I187" t="str">
        <f>VLOOKUP(C187,Customers!A:B,2,FALSE)</f>
        <v>2023:11:30</v>
      </c>
      <c r="J187">
        <f>IFERROR(VLOOKUP($A187,Sheet3!$A:$E,2,FALSE),"")</f>
        <v>38</v>
      </c>
      <c r="K187" t="str">
        <f>IFERROR(VLOOKUP($A187,Sheet3!$A:$E,3,FALSE),"")</f>
        <v>4</v>
      </c>
      <c r="L187" t="str">
        <f>IFERROR(VLOOKUP($A187,Sheet3!$A:$E,4,FALSE),"")</f>
        <v>2024-05-23T12:21:45.000Z</v>
      </c>
      <c r="M187" t="str">
        <f>IFERROR(VLOOKUP($A187,Sheet3!$A:$E,5,FALSE),"")</f>
        <v>2026-05-01T03:45:37.000Z</v>
      </c>
      <c r="N187" s="4">
        <f t="shared" si="5"/>
        <v>175</v>
      </c>
      <c r="O187" t="s">
        <v>2809</v>
      </c>
    </row>
    <row r="188" spans="1:15" x14ac:dyDescent="0.25">
      <c r="A188" t="s">
        <v>846</v>
      </c>
      <c r="B188" t="s">
        <v>318</v>
      </c>
      <c r="C188" t="s">
        <v>29</v>
      </c>
      <c r="D188" t="s">
        <v>319</v>
      </c>
      <c r="E188" t="s">
        <v>320</v>
      </c>
      <c r="F188" t="s">
        <v>847</v>
      </c>
      <c r="G188" s="4">
        <f t="shared" si="4"/>
        <v>477.33333333333331</v>
      </c>
      <c r="H188" t="s">
        <v>848</v>
      </c>
      <c r="I188" t="str">
        <f>VLOOKUP(C188,Customers!A:B,2,FALSE)</f>
        <v>2023:11:30</v>
      </c>
      <c r="J188">
        <f>IFERROR(VLOOKUP($A188,Sheet3!$A:$E,2,FALSE),"")</f>
        <v>12</v>
      </c>
      <c r="K188" t="str">
        <f>IFERROR(VLOOKUP($A188,Sheet3!$A:$E,3,FALSE),"")</f>
        <v>5</v>
      </c>
      <c r="L188" t="str">
        <f>IFERROR(VLOOKUP($A188,Sheet3!$A:$E,4,FALSE),"")</f>
        <v>2024-06-02T09:08:14.000Z</v>
      </c>
      <c r="M188" t="str">
        <f>IFERROR(VLOOKUP($A188,Sheet3!$A:$E,5,FALSE),"")</f>
        <v>2026-02-09T10:33:53.000Z</v>
      </c>
      <c r="N188" s="4">
        <f t="shared" si="5"/>
        <v>185</v>
      </c>
      <c r="O188" t="s">
        <v>2808</v>
      </c>
    </row>
    <row r="189" spans="1:15" x14ac:dyDescent="0.25">
      <c r="A189" t="s">
        <v>849</v>
      </c>
      <c r="B189" t="s">
        <v>318</v>
      </c>
      <c r="C189" t="s">
        <v>29</v>
      </c>
      <c r="D189" t="s">
        <v>319</v>
      </c>
      <c r="E189" t="s">
        <v>320</v>
      </c>
      <c r="F189" t="s">
        <v>850</v>
      </c>
      <c r="G189" s="4">
        <f t="shared" si="4"/>
        <v>284.93333333333334</v>
      </c>
      <c r="H189" t="s">
        <v>851</v>
      </c>
      <c r="I189" t="str">
        <f>VLOOKUP(C189,Customers!A:B,2,FALSE)</f>
        <v>2023:11:30</v>
      </c>
      <c r="J189">
        <f>IFERROR(VLOOKUP($A189,Sheet3!$A:$E,2,FALSE),"")</f>
        <v>22</v>
      </c>
      <c r="K189" t="str">
        <f>IFERROR(VLOOKUP($A189,Sheet3!$A:$E,3,FALSE),"")</f>
        <v>0</v>
      </c>
      <c r="L189" t="str">
        <f>IFERROR(VLOOKUP($A189,Sheet3!$A:$E,4,FALSE),"")</f>
        <v>2024-07-07T09:59:19.000Z</v>
      </c>
      <c r="M189" t="str">
        <f>IFERROR(VLOOKUP($A189,Sheet3!$A:$E,5,FALSE),"")</f>
        <v>2026-01-23T09:33:41.000Z</v>
      </c>
      <c r="N189" s="4">
        <f t="shared" si="5"/>
        <v>220</v>
      </c>
      <c r="O189" t="s">
        <v>2809</v>
      </c>
    </row>
    <row r="190" spans="1:15" x14ac:dyDescent="0.25">
      <c r="A190" t="s">
        <v>852</v>
      </c>
      <c r="B190" t="s">
        <v>318</v>
      </c>
      <c r="C190" t="s">
        <v>29</v>
      </c>
      <c r="D190" t="s">
        <v>319</v>
      </c>
      <c r="E190" t="s">
        <v>320</v>
      </c>
      <c r="F190" t="s">
        <v>853</v>
      </c>
      <c r="G190" s="4">
        <f t="shared" si="4"/>
        <v>1230.9666666666667</v>
      </c>
      <c r="H190" t="s">
        <v>854</v>
      </c>
      <c r="I190" t="str">
        <f>VLOOKUP(C190,Customers!A:B,2,FALSE)</f>
        <v>2023:11:30</v>
      </c>
      <c r="J190">
        <f>IFERROR(VLOOKUP($A190,Sheet3!$A:$E,2,FALSE),"")</f>
        <v>18</v>
      </c>
      <c r="K190" t="str">
        <f>IFERROR(VLOOKUP($A190,Sheet3!$A:$E,3,FALSE),"")</f>
        <v>4</v>
      </c>
      <c r="L190" t="str">
        <f>IFERROR(VLOOKUP($A190,Sheet3!$A:$E,4,FALSE),"")</f>
        <v>2024-06-13T06:09:06.000Z</v>
      </c>
      <c r="M190" t="str">
        <f>IFERROR(VLOOKUP($A190,Sheet3!$A:$E,5,FALSE),"")</f>
        <v>2025-12-23T07:47:17.000Z</v>
      </c>
      <c r="N190" s="4">
        <f t="shared" si="5"/>
        <v>196</v>
      </c>
      <c r="O190" t="s">
        <v>2808</v>
      </c>
    </row>
    <row r="191" spans="1:15" x14ac:dyDescent="0.25">
      <c r="A191" t="s">
        <v>855</v>
      </c>
      <c r="B191" t="s">
        <v>318</v>
      </c>
      <c r="C191" t="s">
        <v>29</v>
      </c>
      <c r="D191" t="s">
        <v>319</v>
      </c>
      <c r="E191" t="s">
        <v>320</v>
      </c>
      <c r="F191" t="s">
        <v>856</v>
      </c>
      <c r="G191" s="4">
        <f t="shared" si="4"/>
        <v>394</v>
      </c>
      <c r="H191" t="s">
        <v>857</v>
      </c>
      <c r="I191" t="str">
        <f>VLOOKUP(C191,Customers!A:B,2,FALSE)</f>
        <v>2023:11:30</v>
      </c>
      <c r="J191">
        <f>IFERROR(VLOOKUP($A191,Sheet3!$A:$E,2,FALSE),"")</f>
        <v>10</v>
      </c>
      <c r="K191" t="str">
        <f>IFERROR(VLOOKUP($A191,Sheet3!$A:$E,3,FALSE),"")</f>
        <v>4</v>
      </c>
      <c r="L191" t="str">
        <f>IFERROR(VLOOKUP($A191,Sheet3!$A:$E,4,FALSE),"")</f>
        <v>2024-06-02T05:29:22.000Z</v>
      </c>
      <c r="M191" t="str">
        <f>IFERROR(VLOOKUP($A191,Sheet3!$A:$E,5,FALSE),"")</f>
        <v>2025-06-07T04:48:01.000Z</v>
      </c>
      <c r="N191" s="4">
        <f t="shared" si="5"/>
        <v>185</v>
      </c>
      <c r="O191" t="s">
        <v>2809</v>
      </c>
    </row>
    <row r="192" spans="1:15" x14ac:dyDescent="0.25">
      <c r="A192" t="s">
        <v>858</v>
      </c>
      <c r="B192" t="s">
        <v>318</v>
      </c>
      <c r="C192" t="s">
        <v>29</v>
      </c>
      <c r="D192" t="s">
        <v>319</v>
      </c>
      <c r="E192" t="s">
        <v>320</v>
      </c>
      <c r="F192" t="s">
        <v>859</v>
      </c>
      <c r="G192" s="4">
        <f t="shared" si="4"/>
        <v>113.7</v>
      </c>
      <c r="H192" t="s">
        <v>860</v>
      </c>
      <c r="I192" t="str">
        <f>VLOOKUP(C192,Customers!A:B,2,FALSE)</f>
        <v>2023:11:30</v>
      </c>
      <c r="J192">
        <f>IFERROR(VLOOKUP($A192,Sheet3!$A:$E,2,FALSE),"")</f>
        <v>19</v>
      </c>
      <c r="K192" t="str">
        <f>IFERROR(VLOOKUP($A192,Sheet3!$A:$E,3,FALSE),"")</f>
        <v>8</v>
      </c>
      <c r="L192" t="str">
        <f>IFERROR(VLOOKUP($A192,Sheet3!$A:$E,4,FALSE),"")</f>
        <v>2024-06-22T04:32:57.000Z</v>
      </c>
      <c r="M192" t="str">
        <f>IFERROR(VLOOKUP($A192,Sheet3!$A:$E,5,FALSE),"")</f>
        <v>2026-04-10T10:31:14.000Z</v>
      </c>
      <c r="N192" s="4">
        <f t="shared" si="5"/>
        <v>205</v>
      </c>
      <c r="O192" t="s">
        <v>2808</v>
      </c>
    </row>
    <row r="193" spans="1:15" x14ac:dyDescent="0.25">
      <c r="A193" t="s">
        <v>861</v>
      </c>
      <c r="B193" t="s">
        <v>318</v>
      </c>
      <c r="C193" t="s">
        <v>29</v>
      </c>
      <c r="D193" t="s">
        <v>319</v>
      </c>
      <c r="E193" t="s">
        <v>320</v>
      </c>
      <c r="F193" t="s">
        <v>862</v>
      </c>
      <c r="G193" s="4">
        <f t="shared" si="4"/>
        <v>633.01666666666665</v>
      </c>
      <c r="H193" t="s">
        <v>863</v>
      </c>
      <c r="I193" t="str">
        <f>VLOOKUP(C193,Customers!A:B,2,FALSE)</f>
        <v>2023:11:30</v>
      </c>
      <c r="J193">
        <f>IFERROR(VLOOKUP($A193,Sheet3!$A:$E,2,FALSE),"")</f>
        <v>15</v>
      </c>
      <c r="K193" t="str">
        <f>IFERROR(VLOOKUP($A193,Sheet3!$A:$E,3,FALSE),"")</f>
        <v>5</v>
      </c>
      <c r="L193" t="str">
        <f>IFERROR(VLOOKUP($A193,Sheet3!$A:$E,4,FALSE),"")</f>
        <v>2024-08-01T04:20:15.000Z</v>
      </c>
      <c r="M193" t="str">
        <f>IFERROR(VLOOKUP($A193,Sheet3!$A:$E,5,FALSE),"")</f>
        <v>2026-02-17T11:35:31.000Z</v>
      </c>
      <c r="N193" s="4">
        <f t="shared" si="5"/>
        <v>245</v>
      </c>
      <c r="O193" t="s">
        <v>2809</v>
      </c>
    </row>
    <row r="194" spans="1:15" x14ac:dyDescent="0.25">
      <c r="A194" t="s">
        <v>864</v>
      </c>
      <c r="B194" t="s">
        <v>318</v>
      </c>
      <c r="C194" t="s">
        <v>29</v>
      </c>
      <c r="D194" t="s">
        <v>319</v>
      </c>
      <c r="E194" t="s">
        <v>320</v>
      </c>
      <c r="F194" t="s">
        <v>865</v>
      </c>
      <c r="G194" s="4">
        <f t="shared" ref="G194:G257" si="6">IF(OR(F194="NULL",F194=""),"",(HOUR(F194)*60)+MINUTE(F194)+(SECOND(F194)/60))</f>
        <v>331.15</v>
      </c>
      <c r="H194" t="s">
        <v>866</v>
      </c>
      <c r="I194" t="str">
        <f>VLOOKUP(C194,Customers!A:B,2,FALSE)</f>
        <v>2023:11:30</v>
      </c>
      <c r="J194">
        <f>IFERROR(VLOOKUP($A194,Sheet3!$A:$E,2,FALSE),"")</f>
        <v>31</v>
      </c>
      <c r="K194" t="str">
        <f>IFERROR(VLOOKUP($A194,Sheet3!$A:$E,3,FALSE),"")</f>
        <v>11</v>
      </c>
      <c r="L194" t="str">
        <f>IFERROR(VLOOKUP($A194,Sheet3!$A:$E,4,FALSE),"")</f>
        <v>2024-07-17T09:11:29.000Z</v>
      </c>
      <c r="M194" t="str">
        <f>IFERROR(VLOOKUP($A194,Sheet3!$A:$E,5,FALSE),"")</f>
        <v>2026-01-11T09:25:47.000Z</v>
      </c>
      <c r="N194" s="4">
        <f t="shared" si="5"/>
        <v>230</v>
      </c>
      <c r="O194" t="s">
        <v>2808</v>
      </c>
    </row>
    <row r="195" spans="1:15" x14ac:dyDescent="0.25">
      <c r="A195" t="s">
        <v>867</v>
      </c>
      <c r="B195" t="s">
        <v>318</v>
      </c>
      <c r="C195" t="s">
        <v>29</v>
      </c>
      <c r="D195" t="s">
        <v>319</v>
      </c>
      <c r="E195" t="s">
        <v>320</v>
      </c>
      <c r="F195" t="s">
        <v>868</v>
      </c>
      <c r="G195" s="4">
        <f t="shared" si="6"/>
        <v>940.5</v>
      </c>
      <c r="H195" t="s">
        <v>869</v>
      </c>
      <c r="I195" t="str">
        <f>VLOOKUP(C195,Customers!A:B,2,FALSE)</f>
        <v>2023:11:30</v>
      </c>
      <c r="J195">
        <f>IFERROR(VLOOKUP($A195,Sheet3!$A:$E,2,FALSE),"")</f>
        <v>26</v>
      </c>
      <c r="K195" t="str">
        <f>IFERROR(VLOOKUP($A195,Sheet3!$A:$E,3,FALSE),"")</f>
        <v>10</v>
      </c>
      <c r="L195" t="str">
        <f>IFERROR(VLOOKUP($A195,Sheet3!$A:$E,4,FALSE),"")</f>
        <v>2024-08-27T11:46:56.000Z</v>
      </c>
      <c r="M195" t="str">
        <f>IFERROR(VLOOKUP($A195,Sheet3!$A:$E,5,FALSE),"")</f>
        <v>2026-02-14T07:36:24.000Z</v>
      </c>
      <c r="N195" s="4">
        <f t="shared" ref="N195:N258" si="7">IFERROR(LEFT(L195,10)-(LEFT(I195,4)&amp;"-"&amp;MID(I195,6,2)&amp;"-"&amp;RIGHT(I195,2)),"")</f>
        <v>271</v>
      </c>
      <c r="O195" t="s">
        <v>2809</v>
      </c>
    </row>
    <row r="196" spans="1:15" x14ac:dyDescent="0.25">
      <c r="A196" t="s">
        <v>870</v>
      </c>
      <c r="B196" t="s">
        <v>318</v>
      </c>
      <c r="C196" t="s">
        <v>29</v>
      </c>
      <c r="D196" t="s">
        <v>319</v>
      </c>
      <c r="E196" t="s">
        <v>320</v>
      </c>
      <c r="F196" t="s">
        <v>871</v>
      </c>
      <c r="G196" s="4">
        <f t="shared" si="6"/>
        <v>371.65</v>
      </c>
      <c r="H196" t="s">
        <v>872</v>
      </c>
      <c r="I196" t="str">
        <f>VLOOKUP(C196,Customers!A:B,2,FALSE)</f>
        <v>2023:11:30</v>
      </c>
      <c r="J196">
        <f>IFERROR(VLOOKUP($A196,Sheet3!$A:$E,2,FALSE),"")</f>
        <v>35</v>
      </c>
      <c r="K196" t="str">
        <f>IFERROR(VLOOKUP($A196,Sheet3!$A:$E,3,FALSE),"")</f>
        <v>11</v>
      </c>
      <c r="L196" t="str">
        <f>IFERROR(VLOOKUP($A196,Sheet3!$A:$E,4,FALSE),"")</f>
        <v>2024-07-02T04:11:44.000Z</v>
      </c>
      <c r="M196" t="str">
        <f>IFERROR(VLOOKUP($A196,Sheet3!$A:$E,5,FALSE),"")</f>
        <v>2025-12-22T09:24:47.000Z</v>
      </c>
      <c r="N196" s="4">
        <f t="shared" si="7"/>
        <v>215</v>
      </c>
      <c r="O196" t="s">
        <v>2808</v>
      </c>
    </row>
    <row r="197" spans="1:15" x14ac:dyDescent="0.25">
      <c r="A197" t="s">
        <v>873</v>
      </c>
      <c r="B197" t="s">
        <v>318</v>
      </c>
      <c r="C197" t="s">
        <v>29</v>
      </c>
      <c r="D197" t="s">
        <v>319</v>
      </c>
      <c r="E197" t="s">
        <v>320</v>
      </c>
      <c r="F197" t="s">
        <v>874</v>
      </c>
      <c r="G197" s="4">
        <f t="shared" si="6"/>
        <v>727.51666666666665</v>
      </c>
      <c r="H197" t="s">
        <v>875</v>
      </c>
      <c r="I197" t="str">
        <f>VLOOKUP(C197,Customers!A:B,2,FALSE)</f>
        <v>2023:11:30</v>
      </c>
      <c r="J197">
        <f>IFERROR(VLOOKUP($A197,Sheet3!$A:$E,2,FALSE),"")</f>
        <v>11</v>
      </c>
      <c r="K197" t="str">
        <f>IFERROR(VLOOKUP($A197,Sheet3!$A:$E,3,FALSE),"")</f>
        <v>5</v>
      </c>
      <c r="L197" t="str">
        <f>IFERROR(VLOOKUP($A197,Sheet3!$A:$E,4,FALSE),"")</f>
        <v>2024-05-28T12:59:47.000Z</v>
      </c>
      <c r="M197" t="str">
        <f>IFERROR(VLOOKUP($A197,Sheet3!$A:$E,5,FALSE),"")</f>
        <v>2026-01-20T14:35:03.000Z</v>
      </c>
      <c r="N197" s="4">
        <f t="shared" si="7"/>
        <v>180</v>
      </c>
      <c r="O197" t="s">
        <v>2809</v>
      </c>
    </row>
    <row r="198" spans="1:15" x14ac:dyDescent="0.25">
      <c r="A198" t="s">
        <v>876</v>
      </c>
      <c r="B198" t="s">
        <v>318</v>
      </c>
      <c r="C198" t="s">
        <v>29</v>
      </c>
      <c r="D198" t="s">
        <v>319</v>
      </c>
      <c r="E198" t="s">
        <v>320</v>
      </c>
      <c r="F198" t="s">
        <v>877</v>
      </c>
      <c r="G198" s="4">
        <f t="shared" si="6"/>
        <v>508.01666666666665</v>
      </c>
      <c r="H198" t="s">
        <v>878</v>
      </c>
      <c r="I198" t="str">
        <f>VLOOKUP(C198,Customers!A:B,2,FALSE)</f>
        <v>2023:11:30</v>
      </c>
      <c r="J198">
        <f>IFERROR(VLOOKUP($A198,Sheet3!$A:$E,2,FALSE),"")</f>
        <v>21</v>
      </c>
      <c r="K198" t="str">
        <f>IFERROR(VLOOKUP($A198,Sheet3!$A:$E,3,FALSE),"")</f>
        <v>4</v>
      </c>
      <c r="L198" t="str">
        <f>IFERROR(VLOOKUP($A198,Sheet3!$A:$E,4,FALSE),"")</f>
        <v>2024-08-31T10:10:44.000Z</v>
      </c>
      <c r="M198" t="str">
        <f>IFERROR(VLOOKUP($A198,Sheet3!$A:$E,5,FALSE),"")</f>
        <v>2025-12-17T08:41:42.000Z</v>
      </c>
      <c r="N198" s="4">
        <f t="shared" si="7"/>
        <v>275</v>
      </c>
      <c r="O198" t="s">
        <v>2808</v>
      </c>
    </row>
    <row r="199" spans="1:15" x14ac:dyDescent="0.25">
      <c r="A199" t="s">
        <v>879</v>
      </c>
      <c r="B199" t="s">
        <v>318</v>
      </c>
      <c r="C199" t="s">
        <v>29</v>
      </c>
      <c r="D199" t="s">
        <v>319</v>
      </c>
      <c r="E199" t="s">
        <v>320</v>
      </c>
      <c r="F199" t="s">
        <v>880</v>
      </c>
      <c r="G199" s="4">
        <f t="shared" si="6"/>
        <v>371.71666666666664</v>
      </c>
      <c r="H199" t="s">
        <v>881</v>
      </c>
      <c r="I199" t="str">
        <f>VLOOKUP(C199,Customers!A:B,2,FALSE)</f>
        <v>2023:11:30</v>
      </c>
      <c r="J199">
        <f>IFERROR(VLOOKUP($A199,Sheet3!$A:$E,2,FALSE),"")</f>
        <v>59</v>
      </c>
      <c r="K199" t="str">
        <f>IFERROR(VLOOKUP($A199,Sheet3!$A:$E,3,FALSE),"")</f>
        <v>22</v>
      </c>
      <c r="L199" t="str">
        <f>IFERROR(VLOOKUP($A199,Sheet3!$A:$E,4,FALSE),"")</f>
        <v>2024-05-23T04:34:50.000Z</v>
      </c>
      <c r="M199" t="str">
        <f>IFERROR(VLOOKUP($A199,Sheet3!$A:$E,5,FALSE),"")</f>
        <v>2026-04-27T04:13:03.000Z</v>
      </c>
      <c r="N199" s="4">
        <f t="shared" si="7"/>
        <v>175</v>
      </c>
      <c r="O199" t="s">
        <v>2809</v>
      </c>
    </row>
    <row r="200" spans="1:15" x14ac:dyDescent="0.25">
      <c r="A200" t="s">
        <v>882</v>
      </c>
      <c r="B200" t="s">
        <v>318</v>
      </c>
      <c r="C200" t="s">
        <v>29</v>
      </c>
      <c r="D200" t="s">
        <v>319</v>
      </c>
      <c r="E200" t="s">
        <v>320</v>
      </c>
      <c r="F200" t="s">
        <v>883</v>
      </c>
      <c r="G200" s="4">
        <f t="shared" si="6"/>
        <v>1312.3833333333334</v>
      </c>
      <c r="H200" t="s">
        <v>884</v>
      </c>
      <c r="I200" t="str">
        <f>VLOOKUP(C200,Customers!A:B,2,FALSE)</f>
        <v>2023:11:30</v>
      </c>
      <c r="J200">
        <f>IFERROR(VLOOKUP($A200,Sheet3!$A:$E,2,FALSE),"")</f>
        <v>13</v>
      </c>
      <c r="K200" t="str">
        <f>IFERROR(VLOOKUP($A200,Sheet3!$A:$E,3,FALSE),"")</f>
        <v>4</v>
      </c>
      <c r="L200" t="str">
        <f>IFERROR(VLOOKUP($A200,Sheet3!$A:$E,4,FALSE),"")</f>
        <v>2024-07-17T08:12:52.000Z</v>
      </c>
      <c r="M200" t="str">
        <f>IFERROR(VLOOKUP($A200,Sheet3!$A:$E,5,FALSE),"")</f>
        <v>2025-02-09T10:30:42.000Z</v>
      </c>
      <c r="N200" s="4">
        <f t="shared" si="7"/>
        <v>230</v>
      </c>
      <c r="O200" t="s">
        <v>2808</v>
      </c>
    </row>
    <row r="201" spans="1:15" x14ac:dyDescent="0.25">
      <c r="A201" t="s">
        <v>885</v>
      </c>
      <c r="B201" t="s">
        <v>318</v>
      </c>
      <c r="C201" t="s">
        <v>29</v>
      </c>
      <c r="D201" t="s">
        <v>319</v>
      </c>
      <c r="E201" t="s">
        <v>320</v>
      </c>
      <c r="F201" t="s">
        <v>886</v>
      </c>
      <c r="G201" s="4">
        <f t="shared" si="6"/>
        <v>589.36666666666667</v>
      </c>
      <c r="H201" t="s">
        <v>887</v>
      </c>
      <c r="I201" t="str">
        <f>VLOOKUP(C201,Customers!A:B,2,FALSE)</f>
        <v>2023:11:30</v>
      </c>
      <c r="J201">
        <f>IFERROR(VLOOKUP($A201,Sheet3!$A:$E,2,FALSE),"")</f>
        <v>24</v>
      </c>
      <c r="K201" t="str">
        <f>IFERROR(VLOOKUP($A201,Sheet3!$A:$E,3,FALSE),"")</f>
        <v>6</v>
      </c>
      <c r="L201" t="str">
        <f>IFERROR(VLOOKUP($A201,Sheet3!$A:$E,4,FALSE),"")</f>
        <v>2024-08-24T01:49:07.000Z</v>
      </c>
      <c r="M201" t="str">
        <f>IFERROR(VLOOKUP($A201,Sheet3!$A:$E,5,FALSE),"")</f>
        <v>2026-01-05T14:45:36.000Z</v>
      </c>
      <c r="N201" s="4">
        <f t="shared" si="7"/>
        <v>268</v>
      </c>
      <c r="O201" t="s">
        <v>2809</v>
      </c>
    </row>
    <row r="202" spans="1:15" x14ac:dyDescent="0.25">
      <c r="A202" t="s">
        <v>888</v>
      </c>
      <c r="B202" t="s">
        <v>318</v>
      </c>
      <c r="C202" t="s">
        <v>29</v>
      </c>
      <c r="D202" t="s">
        <v>319</v>
      </c>
      <c r="E202" t="s">
        <v>320</v>
      </c>
      <c r="F202" t="s">
        <v>889</v>
      </c>
      <c r="G202" s="4">
        <f t="shared" si="6"/>
        <v>1004.2166666666667</v>
      </c>
      <c r="H202" t="s">
        <v>890</v>
      </c>
      <c r="I202" t="str">
        <f>VLOOKUP(C202,Customers!A:B,2,FALSE)</f>
        <v>2023:11:30</v>
      </c>
      <c r="J202">
        <f>IFERROR(VLOOKUP($A202,Sheet3!$A:$E,2,FALSE),"")</f>
        <v>49</v>
      </c>
      <c r="K202" t="str">
        <f>IFERROR(VLOOKUP($A202,Sheet3!$A:$E,3,FALSE),"")</f>
        <v>15</v>
      </c>
      <c r="L202" t="str">
        <f>IFERROR(VLOOKUP($A202,Sheet3!$A:$E,4,FALSE),"")</f>
        <v>2024-05-27T10:53:07.000Z</v>
      </c>
      <c r="M202" t="str">
        <f>IFERROR(VLOOKUP($A202,Sheet3!$A:$E,5,FALSE),"")</f>
        <v>2025-11-19T09:48:46.000Z</v>
      </c>
      <c r="N202" s="4">
        <f t="shared" si="7"/>
        <v>179</v>
      </c>
      <c r="O202" t="s">
        <v>2808</v>
      </c>
    </row>
    <row r="203" spans="1:15" x14ac:dyDescent="0.25">
      <c r="A203" t="s">
        <v>891</v>
      </c>
      <c r="B203" t="s">
        <v>318</v>
      </c>
      <c r="C203" t="s">
        <v>29</v>
      </c>
      <c r="D203" t="s">
        <v>319</v>
      </c>
      <c r="E203" t="s">
        <v>320</v>
      </c>
      <c r="F203" t="s">
        <v>892</v>
      </c>
      <c r="G203" s="4">
        <f t="shared" si="6"/>
        <v>722.36666666666667</v>
      </c>
      <c r="H203" t="s">
        <v>893</v>
      </c>
      <c r="I203" t="str">
        <f>VLOOKUP(C203,Customers!A:B,2,FALSE)</f>
        <v>2023:11:30</v>
      </c>
      <c r="J203">
        <f>IFERROR(VLOOKUP($A203,Sheet3!$A:$E,2,FALSE),"")</f>
        <v>15</v>
      </c>
      <c r="K203" t="str">
        <f>IFERROR(VLOOKUP($A203,Sheet3!$A:$E,3,FALSE),"")</f>
        <v>6</v>
      </c>
      <c r="L203" t="str">
        <f>IFERROR(VLOOKUP($A203,Sheet3!$A:$E,4,FALSE),"")</f>
        <v>2024-05-20T07:41:29.000Z</v>
      </c>
      <c r="M203" t="str">
        <f>IFERROR(VLOOKUP($A203,Sheet3!$A:$E,5,FALSE),"")</f>
        <v>2025-10-20T07:39:34.000Z</v>
      </c>
      <c r="N203" s="4">
        <f t="shared" si="7"/>
        <v>172</v>
      </c>
      <c r="O203" t="s">
        <v>2809</v>
      </c>
    </row>
    <row r="204" spans="1:15" x14ac:dyDescent="0.25">
      <c r="A204" t="s">
        <v>894</v>
      </c>
      <c r="B204" t="s">
        <v>318</v>
      </c>
      <c r="C204" t="s">
        <v>29</v>
      </c>
      <c r="D204" t="s">
        <v>319</v>
      </c>
      <c r="E204" t="s">
        <v>320</v>
      </c>
      <c r="F204" t="s">
        <v>895</v>
      </c>
      <c r="G204" s="4">
        <f t="shared" si="6"/>
        <v>1167.8333333333333</v>
      </c>
      <c r="H204" t="s">
        <v>896</v>
      </c>
      <c r="I204" t="str">
        <f>VLOOKUP(C204,Customers!A:B,2,FALSE)</f>
        <v>2023:11:30</v>
      </c>
      <c r="J204">
        <f>IFERROR(VLOOKUP($A204,Sheet3!$A:$E,2,FALSE),"")</f>
        <v>29</v>
      </c>
      <c r="K204" t="str">
        <f>IFERROR(VLOOKUP($A204,Sheet3!$A:$E,3,FALSE),"")</f>
        <v>14</v>
      </c>
      <c r="L204" t="str">
        <f>IFERROR(VLOOKUP($A204,Sheet3!$A:$E,4,FALSE),"")</f>
        <v>2024-04-30T09:18:04.000Z</v>
      </c>
      <c r="M204" t="str">
        <f>IFERROR(VLOOKUP($A204,Sheet3!$A:$E,5,FALSE),"")</f>
        <v>2025-11-12T13:32:08.000Z</v>
      </c>
      <c r="N204" s="4">
        <f t="shared" si="7"/>
        <v>152</v>
      </c>
      <c r="O204" t="s">
        <v>2808</v>
      </c>
    </row>
    <row r="205" spans="1:15" x14ac:dyDescent="0.25">
      <c r="A205" t="s">
        <v>897</v>
      </c>
      <c r="B205" t="s">
        <v>318</v>
      </c>
      <c r="C205" t="s">
        <v>29</v>
      </c>
      <c r="D205" t="s">
        <v>319</v>
      </c>
      <c r="E205" t="s">
        <v>320</v>
      </c>
      <c r="F205" t="s">
        <v>898</v>
      </c>
      <c r="G205" s="4">
        <f t="shared" si="6"/>
        <v>613.31666666666672</v>
      </c>
      <c r="H205" t="s">
        <v>899</v>
      </c>
      <c r="I205" t="str">
        <f>VLOOKUP(C205,Customers!A:B,2,FALSE)</f>
        <v>2023:11:30</v>
      </c>
      <c r="J205">
        <f>IFERROR(VLOOKUP($A205,Sheet3!$A:$E,2,FALSE),"")</f>
        <v>15</v>
      </c>
      <c r="K205" t="str">
        <f>IFERROR(VLOOKUP($A205,Sheet3!$A:$E,3,FALSE),"")</f>
        <v>6</v>
      </c>
      <c r="L205" t="str">
        <f>IFERROR(VLOOKUP($A205,Sheet3!$A:$E,4,FALSE),"")</f>
        <v>2024-06-21T09:01:27.000Z</v>
      </c>
      <c r="M205" t="str">
        <f>IFERROR(VLOOKUP($A205,Sheet3!$A:$E,5,FALSE),"")</f>
        <v>2025-10-08T09:36:04.000Z</v>
      </c>
      <c r="N205" s="4">
        <f t="shared" si="7"/>
        <v>204</v>
      </c>
      <c r="O205" t="s">
        <v>2809</v>
      </c>
    </row>
    <row r="206" spans="1:15" x14ac:dyDescent="0.25">
      <c r="A206" t="s">
        <v>900</v>
      </c>
      <c r="B206" t="s">
        <v>318</v>
      </c>
      <c r="C206" t="s">
        <v>29</v>
      </c>
      <c r="D206" t="s">
        <v>319</v>
      </c>
      <c r="E206" t="s">
        <v>320</v>
      </c>
      <c r="F206" t="s">
        <v>901</v>
      </c>
      <c r="G206" s="4">
        <f t="shared" si="6"/>
        <v>272.60000000000002</v>
      </c>
      <c r="H206" t="s">
        <v>902</v>
      </c>
      <c r="I206" t="str">
        <f>VLOOKUP(C206,Customers!A:B,2,FALSE)</f>
        <v>2023:11:30</v>
      </c>
      <c r="J206">
        <f>IFERROR(VLOOKUP($A206,Sheet3!$A:$E,2,FALSE),"")</f>
        <v>6</v>
      </c>
      <c r="K206" t="str">
        <f>IFERROR(VLOOKUP($A206,Sheet3!$A:$E,3,FALSE),"")</f>
        <v>0</v>
      </c>
      <c r="L206" t="str">
        <f>IFERROR(VLOOKUP($A206,Sheet3!$A:$E,4,FALSE),"")</f>
        <v>2024-10-10T11:20:33.000Z</v>
      </c>
      <c r="M206" t="str">
        <f>IFERROR(VLOOKUP($A206,Sheet3!$A:$E,5,FALSE),"")</f>
        <v>2025-06-02T10:14:44.000Z</v>
      </c>
      <c r="N206" s="4">
        <f t="shared" si="7"/>
        <v>315</v>
      </c>
      <c r="O206" t="s">
        <v>2808</v>
      </c>
    </row>
    <row r="207" spans="1:15" x14ac:dyDescent="0.25">
      <c r="A207" t="s">
        <v>903</v>
      </c>
      <c r="B207" t="s">
        <v>318</v>
      </c>
      <c r="C207" t="s">
        <v>29</v>
      </c>
      <c r="D207" t="s">
        <v>319</v>
      </c>
      <c r="E207" t="s">
        <v>320</v>
      </c>
      <c r="F207" t="s">
        <v>904</v>
      </c>
      <c r="G207" s="4">
        <f t="shared" si="6"/>
        <v>415.81666666666666</v>
      </c>
      <c r="H207" t="s">
        <v>905</v>
      </c>
      <c r="I207" t="str">
        <f>VLOOKUP(C207,Customers!A:B,2,FALSE)</f>
        <v>2023:11:30</v>
      </c>
      <c r="J207">
        <f>IFERROR(VLOOKUP($A207,Sheet3!$A:$E,2,FALSE),"")</f>
        <v>43</v>
      </c>
      <c r="K207" t="str">
        <f>IFERROR(VLOOKUP($A207,Sheet3!$A:$E,3,FALSE),"")</f>
        <v>15</v>
      </c>
      <c r="L207" t="str">
        <f>IFERROR(VLOOKUP($A207,Sheet3!$A:$E,4,FALSE),"")</f>
        <v>2024-06-23T11:39:02.000Z</v>
      </c>
      <c r="M207" t="str">
        <f>IFERROR(VLOOKUP($A207,Sheet3!$A:$E,5,FALSE),"")</f>
        <v>2026-02-13T09:54:43.000Z</v>
      </c>
      <c r="N207" s="4">
        <f t="shared" si="7"/>
        <v>206</v>
      </c>
      <c r="O207" t="s">
        <v>2809</v>
      </c>
    </row>
    <row r="208" spans="1:15" x14ac:dyDescent="0.25">
      <c r="A208" t="s">
        <v>906</v>
      </c>
      <c r="B208" t="s">
        <v>318</v>
      </c>
      <c r="C208" t="s">
        <v>29</v>
      </c>
      <c r="D208" t="s">
        <v>319</v>
      </c>
      <c r="E208" t="s">
        <v>320</v>
      </c>
      <c r="F208" t="s">
        <v>907</v>
      </c>
      <c r="G208" s="4">
        <f t="shared" si="6"/>
        <v>329.7</v>
      </c>
      <c r="H208" t="s">
        <v>908</v>
      </c>
      <c r="I208" t="str">
        <f>VLOOKUP(C208,Customers!A:B,2,FALSE)</f>
        <v>2023:11:30</v>
      </c>
      <c r="J208">
        <f>IFERROR(VLOOKUP($A208,Sheet3!$A:$E,2,FALSE),"")</f>
        <v>26</v>
      </c>
      <c r="K208" t="str">
        <f>IFERROR(VLOOKUP($A208,Sheet3!$A:$E,3,FALSE),"")</f>
        <v>12</v>
      </c>
      <c r="L208" t="str">
        <f>IFERROR(VLOOKUP($A208,Sheet3!$A:$E,4,FALSE),"")</f>
        <v>2024-07-06T07:46:04.000Z</v>
      </c>
      <c r="M208" t="str">
        <f>IFERROR(VLOOKUP($A208,Sheet3!$A:$E,5,FALSE),"")</f>
        <v>2026-03-14T04:57:38.000Z</v>
      </c>
      <c r="N208" s="4">
        <f t="shared" si="7"/>
        <v>219</v>
      </c>
      <c r="O208" t="s">
        <v>2808</v>
      </c>
    </row>
    <row r="209" spans="1:15" x14ac:dyDescent="0.25">
      <c r="A209" t="s">
        <v>909</v>
      </c>
      <c r="B209" t="s">
        <v>318</v>
      </c>
      <c r="C209" t="s">
        <v>11</v>
      </c>
      <c r="D209" t="s">
        <v>910</v>
      </c>
      <c r="E209" t="s">
        <v>911</v>
      </c>
      <c r="F209" t="s">
        <v>912</v>
      </c>
      <c r="G209" s="4">
        <f t="shared" si="6"/>
        <v>300.41666666666669</v>
      </c>
      <c r="H209" t="s">
        <v>913</v>
      </c>
      <c r="I209" t="str">
        <f>VLOOKUP(C209,Customers!A:B,2,FALSE)</f>
        <v>2022:11:21</v>
      </c>
      <c r="J209">
        <f>IFERROR(VLOOKUP($A209,Sheet3!$A:$E,2,FALSE),"")</f>
        <v>2</v>
      </c>
      <c r="K209" t="str">
        <f>IFERROR(VLOOKUP($A209,Sheet3!$A:$E,3,FALSE),"")</f>
        <v>0</v>
      </c>
      <c r="L209" t="str">
        <f>IFERROR(VLOOKUP($A209,Sheet3!$A:$E,4,FALSE),"")</f>
        <v>2025-09-08T07:30:02.000Z</v>
      </c>
      <c r="M209" t="str">
        <f>IFERROR(VLOOKUP($A209,Sheet3!$A:$E,5,FALSE),"")</f>
        <v>2025-09-11T08:51:10.000Z</v>
      </c>
      <c r="N209" s="4">
        <f t="shared" si="7"/>
        <v>1022</v>
      </c>
      <c r="O209" t="s">
        <v>2809</v>
      </c>
    </row>
    <row r="210" spans="1:15" x14ac:dyDescent="0.25">
      <c r="A210" t="s">
        <v>914</v>
      </c>
      <c r="B210" t="s">
        <v>318</v>
      </c>
      <c r="C210" t="s">
        <v>29</v>
      </c>
      <c r="D210" t="s">
        <v>319</v>
      </c>
      <c r="E210" t="s">
        <v>320</v>
      </c>
      <c r="F210" t="s">
        <v>915</v>
      </c>
      <c r="G210" s="4">
        <f t="shared" si="6"/>
        <v>430.76666666666665</v>
      </c>
      <c r="H210" t="s">
        <v>916</v>
      </c>
      <c r="I210" t="str">
        <f>VLOOKUP(C210,Customers!A:B,2,FALSE)</f>
        <v>2023:11:30</v>
      </c>
      <c r="J210">
        <f>IFERROR(VLOOKUP($A210,Sheet3!$A:$E,2,FALSE),"")</f>
        <v>22</v>
      </c>
      <c r="K210" t="str">
        <f>IFERROR(VLOOKUP($A210,Sheet3!$A:$E,3,FALSE),"")</f>
        <v>15</v>
      </c>
      <c r="L210" t="str">
        <f>IFERROR(VLOOKUP($A210,Sheet3!$A:$E,4,FALSE),"")</f>
        <v>2024-05-17T05:00:22.000Z</v>
      </c>
      <c r="M210" t="str">
        <f>IFERROR(VLOOKUP($A210,Sheet3!$A:$E,5,FALSE),"")</f>
        <v>2025-05-27T07:07:10.000Z</v>
      </c>
      <c r="N210" s="4">
        <f t="shared" si="7"/>
        <v>169</v>
      </c>
      <c r="O210" t="s">
        <v>2808</v>
      </c>
    </row>
    <row r="211" spans="1:15" x14ac:dyDescent="0.25">
      <c r="A211" t="s">
        <v>917</v>
      </c>
      <c r="B211" t="s">
        <v>318</v>
      </c>
      <c r="C211" t="s">
        <v>29</v>
      </c>
      <c r="D211" t="s">
        <v>319</v>
      </c>
      <c r="E211" t="s">
        <v>320</v>
      </c>
      <c r="F211" t="s">
        <v>918</v>
      </c>
      <c r="G211" s="4">
        <f t="shared" si="6"/>
        <v>1234.8333333333333</v>
      </c>
      <c r="H211" t="s">
        <v>919</v>
      </c>
      <c r="I211" t="str">
        <f>VLOOKUP(C211,Customers!A:B,2,FALSE)</f>
        <v>2023:11:30</v>
      </c>
      <c r="J211">
        <f>IFERROR(VLOOKUP($A211,Sheet3!$A:$E,2,FALSE),"")</f>
        <v>22</v>
      </c>
      <c r="K211" t="str">
        <f>IFERROR(VLOOKUP($A211,Sheet3!$A:$E,3,FALSE),"")</f>
        <v>9</v>
      </c>
      <c r="L211" t="str">
        <f>IFERROR(VLOOKUP($A211,Sheet3!$A:$E,4,FALSE),"")</f>
        <v>2024-05-19T07:03:07.000Z</v>
      </c>
      <c r="M211" t="str">
        <f>IFERROR(VLOOKUP($A211,Sheet3!$A:$E,5,FALSE),"")</f>
        <v>2026-03-20T10:50:40.000Z</v>
      </c>
      <c r="N211" s="4">
        <f t="shared" si="7"/>
        <v>171</v>
      </c>
      <c r="O211" t="s">
        <v>2809</v>
      </c>
    </row>
    <row r="212" spans="1:15" x14ac:dyDescent="0.25">
      <c r="A212" t="s">
        <v>920</v>
      </c>
      <c r="B212" t="s">
        <v>318</v>
      </c>
      <c r="C212" t="s">
        <v>29</v>
      </c>
      <c r="D212" t="s">
        <v>319</v>
      </c>
      <c r="E212" t="s">
        <v>320</v>
      </c>
      <c r="F212" t="s">
        <v>921</v>
      </c>
      <c r="G212" s="4">
        <f t="shared" si="6"/>
        <v>486.88333333333333</v>
      </c>
      <c r="H212" t="s">
        <v>922</v>
      </c>
      <c r="I212" t="str">
        <f>VLOOKUP(C212,Customers!A:B,2,FALSE)</f>
        <v>2023:11:30</v>
      </c>
      <c r="J212">
        <f>IFERROR(VLOOKUP($A212,Sheet3!$A:$E,2,FALSE),"")</f>
        <v>47</v>
      </c>
      <c r="K212" t="str">
        <f>IFERROR(VLOOKUP($A212,Sheet3!$A:$E,3,FALSE),"")</f>
        <v>17</v>
      </c>
      <c r="L212" t="str">
        <f>IFERROR(VLOOKUP($A212,Sheet3!$A:$E,4,FALSE),"")</f>
        <v>2024-08-09T10:26:06.000Z</v>
      </c>
      <c r="M212" t="str">
        <f>IFERROR(VLOOKUP($A212,Sheet3!$A:$E,5,FALSE),"")</f>
        <v>2026-04-28T07:10:36.000Z</v>
      </c>
      <c r="N212" s="4">
        <f t="shared" si="7"/>
        <v>253</v>
      </c>
      <c r="O212" t="s">
        <v>2808</v>
      </c>
    </row>
    <row r="213" spans="1:15" x14ac:dyDescent="0.25">
      <c r="A213" t="s">
        <v>923</v>
      </c>
      <c r="B213" t="s">
        <v>318</v>
      </c>
      <c r="C213" t="s">
        <v>29</v>
      </c>
      <c r="D213" t="s">
        <v>319</v>
      </c>
      <c r="E213" t="s">
        <v>320</v>
      </c>
      <c r="F213" t="s">
        <v>924</v>
      </c>
      <c r="G213" s="4">
        <f t="shared" si="6"/>
        <v>1327.9</v>
      </c>
      <c r="H213" t="s">
        <v>925</v>
      </c>
      <c r="I213" t="str">
        <f>VLOOKUP(C213,Customers!A:B,2,FALSE)</f>
        <v>2023:11:30</v>
      </c>
      <c r="J213">
        <f>IFERROR(VLOOKUP($A213,Sheet3!$A:$E,2,FALSE),"")</f>
        <v>34</v>
      </c>
      <c r="K213" t="str">
        <f>IFERROR(VLOOKUP($A213,Sheet3!$A:$E,3,FALSE),"")</f>
        <v>4</v>
      </c>
      <c r="L213" t="str">
        <f>IFERROR(VLOOKUP($A213,Sheet3!$A:$E,4,FALSE),"")</f>
        <v>2024-04-23T06:04:05.000Z</v>
      </c>
      <c r="M213" t="str">
        <f>IFERROR(VLOOKUP($A213,Sheet3!$A:$E,5,FALSE),"")</f>
        <v>2025-12-25T05:02:51.000Z</v>
      </c>
      <c r="N213" s="4">
        <f t="shared" si="7"/>
        <v>145</v>
      </c>
      <c r="O213" t="s">
        <v>2809</v>
      </c>
    </row>
    <row r="214" spans="1:15" x14ac:dyDescent="0.25">
      <c r="A214" t="s">
        <v>926</v>
      </c>
      <c r="B214" t="s">
        <v>318</v>
      </c>
      <c r="C214" t="s">
        <v>29</v>
      </c>
      <c r="D214" t="s">
        <v>319</v>
      </c>
      <c r="E214" t="s">
        <v>320</v>
      </c>
      <c r="F214" t="s">
        <v>927</v>
      </c>
      <c r="G214" s="4">
        <f t="shared" si="6"/>
        <v>534.7833333333333</v>
      </c>
      <c r="H214" t="s">
        <v>928</v>
      </c>
      <c r="I214" t="str">
        <f>VLOOKUP(C214,Customers!A:B,2,FALSE)</f>
        <v>2023:11:30</v>
      </c>
      <c r="J214">
        <f>IFERROR(VLOOKUP($A214,Sheet3!$A:$E,2,FALSE),"")</f>
        <v>34</v>
      </c>
      <c r="K214" t="str">
        <f>IFERROR(VLOOKUP($A214,Sheet3!$A:$E,3,FALSE),"")</f>
        <v>13</v>
      </c>
      <c r="L214" t="str">
        <f>IFERROR(VLOOKUP($A214,Sheet3!$A:$E,4,FALSE),"")</f>
        <v>2024-07-23T08:01:21.000Z</v>
      </c>
      <c r="M214" t="str">
        <f>IFERROR(VLOOKUP($A214,Sheet3!$A:$E,5,FALSE),"")</f>
        <v>2025-12-17T10:04:26.000Z</v>
      </c>
      <c r="N214" s="4">
        <f t="shared" si="7"/>
        <v>236</v>
      </c>
      <c r="O214" t="s">
        <v>2808</v>
      </c>
    </row>
    <row r="215" spans="1:15" x14ac:dyDescent="0.25">
      <c r="A215" t="s">
        <v>929</v>
      </c>
      <c r="B215" t="s">
        <v>318</v>
      </c>
      <c r="C215" t="s">
        <v>29</v>
      </c>
      <c r="D215" t="s">
        <v>319</v>
      </c>
      <c r="E215" t="s">
        <v>320</v>
      </c>
      <c r="F215" t="s">
        <v>930</v>
      </c>
      <c r="G215" s="4">
        <f t="shared" si="6"/>
        <v>241.5</v>
      </c>
      <c r="H215" t="s">
        <v>931</v>
      </c>
      <c r="I215" t="str">
        <f>VLOOKUP(C215,Customers!A:B,2,FALSE)</f>
        <v>2023:11:30</v>
      </c>
      <c r="J215">
        <f>IFERROR(VLOOKUP($A215,Sheet3!$A:$E,2,FALSE),"")</f>
        <v>29</v>
      </c>
      <c r="K215" t="str">
        <f>IFERROR(VLOOKUP($A215,Sheet3!$A:$E,3,FALSE),"")</f>
        <v>1</v>
      </c>
      <c r="L215" t="str">
        <f>IFERROR(VLOOKUP($A215,Sheet3!$A:$E,4,FALSE),"")</f>
        <v>2024-05-24T14:04:43.000Z</v>
      </c>
      <c r="M215" t="str">
        <f>IFERROR(VLOOKUP($A215,Sheet3!$A:$E,5,FALSE),"")</f>
        <v>2026-01-20T07:49:57.000Z</v>
      </c>
      <c r="N215" s="4">
        <f t="shared" si="7"/>
        <v>176</v>
      </c>
      <c r="O215" t="s">
        <v>2809</v>
      </c>
    </row>
    <row r="216" spans="1:15" x14ac:dyDescent="0.25">
      <c r="A216" t="s">
        <v>932</v>
      </c>
      <c r="B216" t="s">
        <v>318</v>
      </c>
      <c r="C216" t="s">
        <v>29</v>
      </c>
      <c r="D216" t="s">
        <v>319</v>
      </c>
      <c r="E216" t="s">
        <v>320</v>
      </c>
      <c r="F216" t="s">
        <v>933</v>
      </c>
      <c r="G216" s="4">
        <f t="shared" si="6"/>
        <v>1342.4</v>
      </c>
      <c r="H216" t="s">
        <v>934</v>
      </c>
      <c r="I216" t="str">
        <f>VLOOKUP(C216,Customers!A:B,2,FALSE)</f>
        <v>2023:11:30</v>
      </c>
      <c r="J216">
        <f>IFERROR(VLOOKUP($A216,Sheet3!$A:$E,2,FALSE),"")</f>
        <v>41</v>
      </c>
      <c r="K216" t="str">
        <f>IFERROR(VLOOKUP($A216,Sheet3!$A:$E,3,FALSE),"")</f>
        <v>24</v>
      </c>
      <c r="L216" t="str">
        <f>IFERROR(VLOOKUP($A216,Sheet3!$A:$E,4,FALSE),"")</f>
        <v>2024-07-06T05:45:38.000Z</v>
      </c>
      <c r="M216" t="str">
        <f>IFERROR(VLOOKUP($A216,Sheet3!$A:$E,5,FALSE),"")</f>
        <v>2025-12-18T10:08:14.000Z</v>
      </c>
      <c r="N216" s="4">
        <f t="shared" si="7"/>
        <v>219</v>
      </c>
      <c r="O216" t="s">
        <v>2808</v>
      </c>
    </row>
    <row r="217" spans="1:15" x14ac:dyDescent="0.25">
      <c r="A217" t="s">
        <v>935</v>
      </c>
      <c r="B217" t="s">
        <v>318</v>
      </c>
      <c r="C217" t="s">
        <v>29</v>
      </c>
      <c r="D217" t="s">
        <v>319</v>
      </c>
      <c r="E217" t="s">
        <v>320</v>
      </c>
      <c r="F217" t="s">
        <v>936</v>
      </c>
      <c r="G217" s="4">
        <f t="shared" si="6"/>
        <v>247.1</v>
      </c>
      <c r="H217" t="s">
        <v>937</v>
      </c>
      <c r="I217" t="str">
        <f>VLOOKUP(C217,Customers!A:B,2,FALSE)</f>
        <v>2023:11:30</v>
      </c>
      <c r="J217">
        <f>IFERROR(VLOOKUP($A217,Sheet3!$A:$E,2,FALSE),"")</f>
        <v>22</v>
      </c>
      <c r="K217" t="str">
        <f>IFERROR(VLOOKUP($A217,Sheet3!$A:$E,3,FALSE),"")</f>
        <v>8</v>
      </c>
      <c r="L217" t="str">
        <f>IFERROR(VLOOKUP($A217,Sheet3!$A:$E,4,FALSE),"")</f>
        <v>2024-07-06T08:16:55.000Z</v>
      </c>
      <c r="M217" t="str">
        <f>IFERROR(VLOOKUP($A217,Sheet3!$A:$E,5,FALSE),"")</f>
        <v>2026-04-26T08:44:09.000Z</v>
      </c>
      <c r="N217" s="4">
        <f t="shared" si="7"/>
        <v>219</v>
      </c>
      <c r="O217" t="s">
        <v>2809</v>
      </c>
    </row>
    <row r="218" spans="1:15" x14ac:dyDescent="0.25">
      <c r="A218" t="s">
        <v>938</v>
      </c>
      <c r="B218" t="s">
        <v>318</v>
      </c>
      <c r="C218" t="s">
        <v>29</v>
      </c>
      <c r="D218" t="s">
        <v>319</v>
      </c>
      <c r="E218" t="s">
        <v>320</v>
      </c>
      <c r="F218" t="s">
        <v>939</v>
      </c>
      <c r="G218" s="4">
        <f t="shared" si="6"/>
        <v>496.33333333333331</v>
      </c>
      <c r="H218" t="s">
        <v>940</v>
      </c>
      <c r="I218" t="str">
        <f>VLOOKUP(C218,Customers!A:B,2,FALSE)</f>
        <v>2023:11:30</v>
      </c>
      <c r="J218">
        <f>IFERROR(VLOOKUP($A218,Sheet3!$A:$E,2,FALSE),"")</f>
        <v>10</v>
      </c>
      <c r="K218" t="str">
        <f>IFERROR(VLOOKUP($A218,Sheet3!$A:$E,3,FALSE),"")</f>
        <v>1</v>
      </c>
      <c r="L218" t="str">
        <f>IFERROR(VLOOKUP($A218,Sheet3!$A:$E,4,FALSE),"")</f>
        <v>2024-08-02T12:24:39.000Z</v>
      </c>
      <c r="M218" t="str">
        <f>IFERROR(VLOOKUP($A218,Sheet3!$A:$E,5,FALSE),"")</f>
        <v>2025-12-16T10:36:17.000Z</v>
      </c>
      <c r="N218" s="4">
        <f t="shared" si="7"/>
        <v>246</v>
      </c>
      <c r="O218" t="s">
        <v>2808</v>
      </c>
    </row>
    <row r="219" spans="1:15" x14ac:dyDescent="0.25">
      <c r="A219" t="s">
        <v>941</v>
      </c>
      <c r="B219" t="s">
        <v>318</v>
      </c>
      <c r="C219" t="s">
        <v>29</v>
      </c>
      <c r="D219" t="s">
        <v>319</v>
      </c>
      <c r="E219" t="s">
        <v>320</v>
      </c>
      <c r="F219" t="s">
        <v>942</v>
      </c>
      <c r="G219" s="4">
        <f t="shared" si="6"/>
        <v>596.70000000000005</v>
      </c>
      <c r="H219" t="s">
        <v>943</v>
      </c>
      <c r="I219" t="str">
        <f>VLOOKUP(C219,Customers!A:B,2,FALSE)</f>
        <v>2023:11:30</v>
      </c>
      <c r="J219">
        <f>IFERROR(VLOOKUP($A219,Sheet3!$A:$E,2,FALSE),"")</f>
        <v>5</v>
      </c>
      <c r="K219" t="str">
        <f>IFERROR(VLOOKUP($A219,Sheet3!$A:$E,3,FALSE),"")</f>
        <v>0</v>
      </c>
      <c r="L219" t="str">
        <f>IFERROR(VLOOKUP($A219,Sheet3!$A:$E,4,FALSE),"")</f>
        <v>2024-06-02T07:56:11.000Z</v>
      </c>
      <c r="M219" t="str">
        <f>IFERROR(VLOOKUP($A219,Sheet3!$A:$E,5,FALSE),"")</f>
        <v>2025-09-04T10:40:40.000Z</v>
      </c>
      <c r="N219" s="4">
        <f t="shared" si="7"/>
        <v>185</v>
      </c>
      <c r="O219" t="s">
        <v>2809</v>
      </c>
    </row>
    <row r="220" spans="1:15" x14ac:dyDescent="0.25">
      <c r="A220" t="s">
        <v>944</v>
      </c>
      <c r="B220" t="s">
        <v>318</v>
      </c>
      <c r="C220" t="s">
        <v>29</v>
      </c>
      <c r="D220" t="s">
        <v>319</v>
      </c>
      <c r="E220" t="s">
        <v>320</v>
      </c>
      <c r="F220" t="s">
        <v>945</v>
      </c>
      <c r="G220" s="4">
        <f t="shared" si="6"/>
        <v>71.416666666666671</v>
      </c>
      <c r="H220" t="s">
        <v>946</v>
      </c>
      <c r="I220" t="str">
        <f>VLOOKUP(C220,Customers!A:B,2,FALSE)</f>
        <v>2023:11:30</v>
      </c>
      <c r="J220">
        <f>IFERROR(VLOOKUP($A220,Sheet3!$A:$E,2,FALSE),"")</f>
        <v>6</v>
      </c>
      <c r="K220" t="str">
        <f>IFERROR(VLOOKUP($A220,Sheet3!$A:$E,3,FALSE),"")</f>
        <v>0</v>
      </c>
      <c r="L220" t="str">
        <f>IFERROR(VLOOKUP($A220,Sheet3!$A:$E,4,FALSE),"")</f>
        <v>2024-07-31T08:46:56.000Z</v>
      </c>
      <c r="M220" t="str">
        <f>IFERROR(VLOOKUP($A220,Sheet3!$A:$E,5,FALSE),"")</f>
        <v>2025-06-16T10:59:53.000Z</v>
      </c>
      <c r="N220" s="4">
        <f t="shared" si="7"/>
        <v>244</v>
      </c>
      <c r="O220" t="s">
        <v>2808</v>
      </c>
    </row>
    <row r="221" spans="1:15" x14ac:dyDescent="0.25">
      <c r="A221" t="s">
        <v>947</v>
      </c>
      <c r="B221" t="s">
        <v>318</v>
      </c>
      <c r="C221" t="s">
        <v>29</v>
      </c>
      <c r="D221" t="s">
        <v>319</v>
      </c>
      <c r="E221" t="s">
        <v>320</v>
      </c>
      <c r="F221" t="s">
        <v>948</v>
      </c>
      <c r="G221" s="4">
        <f t="shared" si="6"/>
        <v>450.35</v>
      </c>
      <c r="H221" t="s">
        <v>949</v>
      </c>
      <c r="I221" t="str">
        <f>VLOOKUP(C221,Customers!A:B,2,FALSE)</f>
        <v>2023:11:30</v>
      </c>
      <c r="J221">
        <f>IFERROR(VLOOKUP($A221,Sheet3!$A:$E,2,FALSE),"")</f>
        <v>7</v>
      </c>
      <c r="K221" t="str">
        <f>IFERROR(VLOOKUP($A221,Sheet3!$A:$E,3,FALSE),"")</f>
        <v>4</v>
      </c>
      <c r="L221" t="str">
        <f>IFERROR(VLOOKUP($A221,Sheet3!$A:$E,4,FALSE),"")</f>
        <v>2024-10-18T09:50:49.000Z</v>
      </c>
      <c r="M221" t="str">
        <f>IFERROR(VLOOKUP($A221,Sheet3!$A:$E,5,FALSE),"")</f>
        <v>2025-12-18T16:01:42.000Z</v>
      </c>
      <c r="N221" s="4">
        <f t="shared" si="7"/>
        <v>323</v>
      </c>
      <c r="O221" t="s">
        <v>2809</v>
      </c>
    </row>
    <row r="222" spans="1:15" x14ac:dyDescent="0.25">
      <c r="A222" t="s">
        <v>950</v>
      </c>
      <c r="B222" t="s">
        <v>318</v>
      </c>
      <c r="C222" t="s">
        <v>29</v>
      </c>
      <c r="D222" t="s">
        <v>319</v>
      </c>
      <c r="E222" t="s">
        <v>320</v>
      </c>
      <c r="F222" t="s">
        <v>951</v>
      </c>
      <c r="G222" s="4">
        <f t="shared" si="6"/>
        <v>253.9</v>
      </c>
      <c r="H222" t="s">
        <v>952</v>
      </c>
      <c r="I222" t="str">
        <f>VLOOKUP(C222,Customers!A:B,2,FALSE)</f>
        <v>2023:11:30</v>
      </c>
      <c r="J222">
        <f>IFERROR(VLOOKUP($A222,Sheet3!$A:$E,2,FALSE),"")</f>
        <v>14</v>
      </c>
      <c r="K222" t="str">
        <f>IFERROR(VLOOKUP($A222,Sheet3!$A:$E,3,FALSE),"")</f>
        <v>3</v>
      </c>
      <c r="L222" t="str">
        <f>IFERROR(VLOOKUP($A222,Sheet3!$A:$E,4,FALSE),"")</f>
        <v>2024-08-01T04:51:46.000Z</v>
      </c>
      <c r="M222" t="str">
        <f>IFERROR(VLOOKUP($A222,Sheet3!$A:$E,5,FALSE),"")</f>
        <v>2025-11-11T12:28:48.000Z</v>
      </c>
      <c r="N222" s="4">
        <f t="shared" si="7"/>
        <v>245</v>
      </c>
      <c r="O222" t="s">
        <v>2808</v>
      </c>
    </row>
    <row r="223" spans="1:15" x14ac:dyDescent="0.25">
      <c r="A223" t="s">
        <v>953</v>
      </c>
      <c r="B223" t="s">
        <v>318</v>
      </c>
      <c r="C223" t="s">
        <v>29</v>
      </c>
      <c r="D223" t="s">
        <v>319</v>
      </c>
      <c r="E223" t="s">
        <v>320</v>
      </c>
      <c r="F223" t="s">
        <v>954</v>
      </c>
      <c r="G223" s="4">
        <f t="shared" si="6"/>
        <v>887.65</v>
      </c>
      <c r="H223" t="s">
        <v>955</v>
      </c>
      <c r="I223" t="str">
        <f>VLOOKUP(C223,Customers!A:B,2,FALSE)</f>
        <v>2023:11:30</v>
      </c>
      <c r="J223">
        <f>IFERROR(VLOOKUP($A223,Sheet3!$A:$E,2,FALSE),"")</f>
        <v>15</v>
      </c>
      <c r="K223" t="str">
        <f>IFERROR(VLOOKUP($A223,Sheet3!$A:$E,3,FALSE),"")</f>
        <v>10</v>
      </c>
      <c r="L223" t="str">
        <f>IFERROR(VLOOKUP($A223,Sheet3!$A:$E,4,FALSE),"")</f>
        <v>2024-05-29T10:40:30.000Z</v>
      </c>
      <c r="M223" t="str">
        <f>IFERROR(VLOOKUP($A223,Sheet3!$A:$E,5,FALSE),"")</f>
        <v>2026-01-07T06:22:33.000Z</v>
      </c>
      <c r="N223" s="4">
        <f t="shared" si="7"/>
        <v>181</v>
      </c>
      <c r="O223" t="s">
        <v>2809</v>
      </c>
    </row>
    <row r="224" spans="1:15" x14ac:dyDescent="0.25">
      <c r="A224" t="s">
        <v>956</v>
      </c>
      <c r="B224" t="s">
        <v>318</v>
      </c>
      <c r="C224" t="s">
        <v>29</v>
      </c>
      <c r="D224" t="s">
        <v>319</v>
      </c>
      <c r="E224" t="s">
        <v>320</v>
      </c>
      <c r="F224" t="s">
        <v>957</v>
      </c>
      <c r="G224" s="4">
        <f t="shared" si="6"/>
        <v>310.85000000000002</v>
      </c>
      <c r="H224" t="s">
        <v>958</v>
      </c>
      <c r="I224" t="str">
        <f>VLOOKUP(C224,Customers!A:B,2,FALSE)</f>
        <v>2023:11:30</v>
      </c>
      <c r="J224">
        <f>IFERROR(VLOOKUP($A224,Sheet3!$A:$E,2,FALSE),"")</f>
        <v>26</v>
      </c>
      <c r="K224" t="str">
        <f>IFERROR(VLOOKUP($A224,Sheet3!$A:$E,3,FALSE),"")</f>
        <v>10</v>
      </c>
      <c r="L224" t="str">
        <f>IFERROR(VLOOKUP($A224,Sheet3!$A:$E,4,FALSE),"")</f>
        <v>2024-05-04T03:55:53.000Z</v>
      </c>
      <c r="M224" t="str">
        <f>IFERROR(VLOOKUP($A224,Sheet3!$A:$E,5,FALSE),"")</f>
        <v>2026-01-06T04:25:02.000Z</v>
      </c>
      <c r="N224" s="4">
        <f t="shared" si="7"/>
        <v>156</v>
      </c>
      <c r="O224" t="s">
        <v>2808</v>
      </c>
    </row>
    <row r="225" spans="1:15" x14ac:dyDescent="0.25">
      <c r="A225" t="s">
        <v>959</v>
      </c>
      <c r="B225" t="s">
        <v>318</v>
      </c>
      <c r="C225" t="s">
        <v>29</v>
      </c>
      <c r="D225" t="s">
        <v>319</v>
      </c>
      <c r="E225" t="s">
        <v>320</v>
      </c>
      <c r="F225" t="s">
        <v>960</v>
      </c>
      <c r="G225" s="4">
        <f t="shared" si="6"/>
        <v>919.75</v>
      </c>
      <c r="H225" t="s">
        <v>961</v>
      </c>
      <c r="I225" t="str">
        <f>VLOOKUP(C225,Customers!A:B,2,FALSE)</f>
        <v>2023:11:30</v>
      </c>
      <c r="J225">
        <f>IFERROR(VLOOKUP($A225,Sheet3!$A:$E,2,FALSE),"")</f>
        <v>14</v>
      </c>
      <c r="K225" t="str">
        <f>IFERROR(VLOOKUP($A225,Sheet3!$A:$E,3,FALSE),"")</f>
        <v>7</v>
      </c>
      <c r="L225" t="str">
        <f>IFERROR(VLOOKUP($A225,Sheet3!$A:$E,4,FALSE),"")</f>
        <v>2024-07-19T09:28:50.000Z</v>
      </c>
      <c r="M225" t="str">
        <f>IFERROR(VLOOKUP($A225,Sheet3!$A:$E,5,FALSE),"")</f>
        <v>2025-09-22T04:30:08.000Z</v>
      </c>
      <c r="N225" s="4">
        <f t="shared" si="7"/>
        <v>232</v>
      </c>
      <c r="O225" t="s">
        <v>2809</v>
      </c>
    </row>
    <row r="226" spans="1:15" x14ac:dyDescent="0.25">
      <c r="A226" t="s">
        <v>962</v>
      </c>
      <c r="B226" t="s">
        <v>318</v>
      </c>
      <c r="C226" t="s">
        <v>29</v>
      </c>
      <c r="D226" t="s">
        <v>319</v>
      </c>
      <c r="E226" t="s">
        <v>320</v>
      </c>
      <c r="F226" t="s">
        <v>963</v>
      </c>
      <c r="G226" s="4">
        <f t="shared" si="6"/>
        <v>1231.1166666666666</v>
      </c>
      <c r="H226" t="s">
        <v>964</v>
      </c>
      <c r="I226" t="str">
        <f>VLOOKUP(C226,Customers!A:B,2,FALSE)</f>
        <v>2023:11:30</v>
      </c>
      <c r="J226">
        <f>IFERROR(VLOOKUP($A226,Sheet3!$A:$E,2,FALSE),"")</f>
        <v>13</v>
      </c>
      <c r="K226" t="str">
        <f>IFERROR(VLOOKUP($A226,Sheet3!$A:$E,3,FALSE),"")</f>
        <v>0</v>
      </c>
      <c r="L226" t="str">
        <f>IFERROR(VLOOKUP($A226,Sheet3!$A:$E,4,FALSE),"")</f>
        <v>2024-08-01T09:42:44.000Z</v>
      </c>
      <c r="M226" t="str">
        <f>IFERROR(VLOOKUP($A226,Sheet3!$A:$E,5,FALSE),"")</f>
        <v>2025-09-09T07:07:55.000Z</v>
      </c>
      <c r="N226" s="4">
        <f t="shared" si="7"/>
        <v>245</v>
      </c>
      <c r="O226" t="s">
        <v>2808</v>
      </c>
    </row>
    <row r="227" spans="1:15" x14ac:dyDescent="0.25">
      <c r="A227" t="s">
        <v>965</v>
      </c>
      <c r="B227" t="s">
        <v>318</v>
      </c>
      <c r="C227" t="s">
        <v>29</v>
      </c>
      <c r="D227" t="s">
        <v>319</v>
      </c>
      <c r="E227" t="s">
        <v>320</v>
      </c>
      <c r="F227" t="s">
        <v>966</v>
      </c>
      <c r="G227" s="4">
        <f t="shared" si="6"/>
        <v>840.08333333333337</v>
      </c>
      <c r="H227" t="s">
        <v>967</v>
      </c>
      <c r="I227" t="str">
        <f>VLOOKUP(C227,Customers!A:B,2,FALSE)</f>
        <v>2023:11:30</v>
      </c>
      <c r="J227">
        <f>IFERROR(VLOOKUP($A227,Sheet3!$A:$E,2,FALSE),"")</f>
        <v>28</v>
      </c>
      <c r="K227" t="str">
        <f>IFERROR(VLOOKUP($A227,Sheet3!$A:$E,3,FALSE),"")</f>
        <v>9</v>
      </c>
      <c r="L227" t="str">
        <f>IFERROR(VLOOKUP($A227,Sheet3!$A:$E,4,FALSE),"")</f>
        <v>2024-05-30T07:57:03.000Z</v>
      </c>
      <c r="M227" t="str">
        <f>IFERROR(VLOOKUP($A227,Sheet3!$A:$E,5,FALSE),"")</f>
        <v>2026-01-16T10:31:28.000Z</v>
      </c>
      <c r="N227" s="4">
        <f t="shared" si="7"/>
        <v>182</v>
      </c>
      <c r="O227" t="s">
        <v>2809</v>
      </c>
    </row>
    <row r="228" spans="1:15" x14ac:dyDescent="0.25">
      <c r="A228" t="s">
        <v>968</v>
      </c>
      <c r="B228" t="s">
        <v>318</v>
      </c>
      <c r="C228" t="s">
        <v>29</v>
      </c>
      <c r="D228" t="s">
        <v>319</v>
      </c>
      <c r="E228" t="s">
        <v>320</v>
      </c>
      <c r="F228" t="s">
        <v>969</v>
      </c>
      <c r="G228" s="4">
        <f t="shared" si="6"/>
        <v>593.58333333333337</v>
      </c>
      <c r="H228" t="s">
        <v>970</v>
      </c>
      <c r="I228" t="str">
        <f>VLOOKUP(C228,Customers!A:B,2,FALSE)</f>
        <v>2023:11:30</v>
      </c>
      <c r="J228">
        <f>IFERROR(VLOOKUP($A228,Sheet3!$A:$E,2,FALSE),"")</f>
        <v>6</v>
      </c>
      <c r="K228" t="str">
        <f>IFERROR(VLOOKUP($A228,Sheet3!$A:$E,3,FALSE),"")</f>
        <v>0</v>
      </c>
      <c r="L228" t="str">
        <f>IFERROR(VLOOKUP($A228,Sheet3!$A:$E,4,FALSE),"")</f>
        <v>2024-07-28T07:37:58.000Z</v>
      </c>
      <c r="M228" t="str">
        <f>IFERROR(VLOOKUP($A228,Sheet3!$A:$E,5,FALSE),"")</f>
        <v>2025-06-09T11:32:14.000Z</v>
      </c>
      <c r="N228" s="4">
        <f t="shared" si="7"/>
        <v>241</v>
      </c>
      <c r="O228" t="s">
        <v>2808</v>
      </c>
    </row>
    <row r="229" spans="1:15" x14ac:dyDescent="0.25">
      <c r="A229" t="s">
        <v>971</v>
      </c>
      <c r="B229" t="s">
        <v>318</v>
      </c>
      <c r="C229" t="s">
        <v>125</v>
      </c>
      <c r="D229" t="s">
        <v>972</v>
      </c>
      <c r="E229" t="s">
        <v>973</v>
      </c>
      <c r="F229" t="s">
        <v>974</v>
      </c>
      <c r="G229" s="4">
        <f t="shared" si="6"/>
        <v>329.16666666666669</v>
      </c>
      <c r="H229" t="s">
        <v>975</v>
      </c>
      <c r="I229" t="str">
        <f>VLOOKUP(C229,Customers!A:B,2,FALSE)</f>
        <v>2025:08:21</v>
      </c>
      <c r="J229">
        <f>IFERROR(VLOOKUP($A229,Sheet3!$A:$E,2,FALSE),"")</f>
        <v>16</v>
      </c>
      <c r="K229" t="str">
        <f>IFERROR(VLOOKUP($A229,Sheet3!$A:$E,3,FALSE),"")</f>
        <v>7</v>
      </c>
      <c r="L229" t="str">
        <f>IFERROR(VLOOKUP($A229,Sheet3!$A:$E,4,FALSE),"")</f>
        <v>2024-07-08T03:02:27.000Z</v>
      </c>
      <c r="M229" t="str">
        <f>IFERROR(VLOOKUP($A229,Sheet3!$A:$E,5,FALSE),"")</f>
        <v>2025-09-02T09:21:54.000Z</v>
      </c>
      <c r="N229" s="4">
        <f t="shared" si="7"/>
        <v>-409</v>
      </c>
      <c r="O229" t="s">
        <v>2809</v>
      </c>
    </row>
    <row r="230" spans="1:15" x14ac:dyDescent="0.25">
      <c r="A230" t="s">
        <v>976</v>
      </c>
      <c r="B230" t="s">
        <v>318</v>
      </c>
      <c r="C230" t="s">
        <v>29</v>
      </c>
      <c r="D230" t="s">
        <v>319</v>
      </c>
      <c r="E230" t="s">
        <v>320</v>
      </c>
      <c r="F230" t="s">
        <v>977</v>
      </c>
      <c r="G230" s="4">
        <f t="shared" si="6"/>
        <v>406.3</v>
      </c>
      <c r="H230" t="s">
        <v>978</v>
      </c>
      <c r="I230" t="str">
        <f>VLOOKUP(C230,Customers!A:B,2,FALSE)</f>
        <v>2023:11:30</v>
      </c>
      <c r="J230">
        <f>IFERROR(VLOOKUP($A230,Sheet3!$A:$E,2,FALSE),"")</f>
        <v>7</v>
      </c>
      <c r="K230" t="str">
        <f>IFERROR(VLOOKUP($A230,Sheet3!$A:$E,3,FALSE),"")</f>
        <v>0</v>
      </c>
      <c r="L230" t="str">
        <f>IFERROR(VLOOKUP($A230,Sheet3!$A:$E,4,FALSE),"")</f>
        <v>2024-08-05T10:35:22.000Z</v>
      </c>
      <c r="M230" t="str">
        <f>IFERROR(VLOOKUP($A230,Sheet3!$A:$E,5,FALSE),"")</f>
        <v>2025-09-16T07:32:50.000Z</v>
      </c>
      <c r="N230" s="4">
        <f t="shared" si="7"/>
        <v>249</v>
      </c>
      <c r="O230" t="s">
        <v>2808</v>
      </c>
    </row>
    <row r="231" spans="1:15" x14ac:dyDescent="0.25">
      <c r="A231" t="s">
        <v>979</v>
      </c>
      <c r="B231" t="s">
        <v>318</v>
      </c>
      <c r="C231" t="s">
        <v>29</v>
      </c>
      <c r="D231" t="s">
        <v>319</v>
      </c>
      <c r="E231" t="s">
        <v>320</v>
      </c>
      <c r="F231" t="s">
        <v>980</v>
      </c>
      <c r="G231" s="4">
        <f t="shared" si="6"/>
        <v>727.01666666666665</v>
      </c>
      <c r="H231" t="s">
        <v>981</v>
      </c>
      <c r="I231" t="str">
        <f>VLOOKUP(C231,Customers!A:B,2,FALSE)</f>
        <v>2023:11:30</v>
      </c>
      <c r="J231">
        <f>IFERROR(VLOOKUP($A231,Sheet3!$A:$E,2,FALSE),"")</f>
        <v>9</v>
      </c>
      <c r="K231" t="str">
        <f>IFERROR(VLOOKUP($A231,Sheet3!$A:$E,3,FALSE),"")</f>
        <v>1</v>
      </c>
      <c r="L231" t="str">
        <f>IFERROR(VLOOKUP($A231,Sheet3!$A:$E,4,FALSE),"")</f>
        <v>2024-07-11T09:04:44.000Z</v>
      </c>
      <c r="M231" t="str">
        <f>IFERROR(VLOOKUP($A231,Sheet3!$A:$E,5,FALSE),"")</f>
        <v>2026-01-07T11:22:52.000Z</v>
      </c>
      <c r="N231" s="4">
        <f t="shared" si="7"/>
        <v>224</v>
      </c>
      <c r="O231" t="s">
        <v>2809</v>
      </c>
    </row>
    <row r="232" spans="1:15" x14ac:dyDescent="0.25">
      <c r="A232" t="s">
        <v>982</v>
      </c>
      <c r="B232" t="s">
        <v>318</v>
      </c>
      <c r="C232" t="s">
        <v>29</v>
      </c>
      <c r="D232" t="s">
        <v>319</v>
      </c>
      <c r="E232" t="s">
        <v>320</v>
      </c>
      <c r="F232" t="s">
        <v>983</v>
      </c>
      <c r="G232" s="4">
        <f t="shared" si="6"/>
        <v>103.3</v>
      </c>
      <c r="H232" t="s">
        <v>198</v>
      </c>
      <c r="I232" t="str">
        <f>VLOOKUP(C232,Customers!A:B,2,FALSE)</f>
        <v>2023:11:30</v>
      </c>
      <c r="J232">
        <f>IFERROR(VLOOKUP($A232,Sheet3!$A:$E,2,FALSE),"")</f>
        <v>12</v>
      </c>
      <c r="K232" t="str">
        <f>IFERROR(VLOOKUP($A232,Sheet3!$A:$E,3,FALSE),"")</f>
        <v>8</v>
      </c>
      <c r="L232" t="str">
        <f>IFERROR(VLOOKUP($A232,Sheet3!$A:$E,4,FALSE),"")</f>
        <v>2024-08-03T04:24:11.000Z</v>
      </c>
      <c r="M232" t="str">
        <f>IFERROR(VLOOKUP($A232,Sheet3!$A:$E,5,FALSE),"")</f>
        <v>2024-10-21T11:57:22.000Z</v>
      </c>
      <c r="N232" s="4">
        <f t="shared" si="7"/>
        <v>247</v>
      </c>
      <c r="O232" t="s">
        <v>2808</v>
      </c>
    </row>
    <row r="233" spans="1:15" x14ac:dyDescent="0.25">
      <c r="A233" t="s">
        <v>984</v>
      </c>
      <c r="B233" t="s">
        <v>318</v>
      </c>
      <c r="C233" t="s">
        <v>29</v>
      </c>
      <c r="D233" t="s">
        <v>319</v>
      </c>
      <c r="E233" t="s">
        <v>320</v>
      </c>
      <c r="F233" t="s">
        <v>985</v>
      </c>
      <c r="G233" s="4">
        <f t="shared" si="6"/>
        <v>1209.0666666666666</v>
      </c>
      <c r="H233" t="s">
        <v>986</v>
      </c>
      <c r="I233" t="str">
        <f>VLOOKUP(C233,Customers!A:B,2,FALSE)</f>
        <v>2023:11:30</v>
      </c>
      <c r="J233">
        <f>IFERROR(VLOOKUP($A233,Sheet3!$A:$E,2,FALSE),"")</f>
        <v>47</v>
      </c>
      <c r="K233" t="str">
        <f>IFERROR(VLOOKUP($A233,Sheet3!$A:$E,3,FALSE),"")</f>
        <v>21</v>
      </c>
      <c r="L233" t="str">
        <f>IFERROR(VLOOKUP($A233,Sheet3!$A:$E,4,FALSE),"")</f>
        <v>2024-05-27T12:31:58.000Z</v>
      </c>
      <c r="M233" t="str">
        <f>IFERROR(VLOOKUP($A233,Sheet3!$A:$E,5,FALSE),"")</f>
        <v>2025-04-08T10:55:29.000Z</v>
      </c>
      <c r="N233" s="4">
        <f t="shared" si="7"/>
        <v>179</v>
      </c>
      <c r="O233" t="s">
        <v>2809</v>
      </c>
    </row>
    <row r="234" spans="1:15" x14ac:dyDescent="0.25">
      <c r="A234" t="s">
        <v>987</v>
      </c>
      <c r="B234" t="s">
        <v>318</v>
      </c>
      <c r="C234" t="s">
        <v>29</v>
      </c>
      <c r="D234" t="s">
        <v>319</v>
      </c>
      <c r="E234" t="s">
        <v>320</v>
      </c>
      <c r="F234" t="s">
        <v>988</v>
      </c>
      <c r="G234" s="4">
        <f t="shared" si="6"/>
        <v>1347.8166666666666</v>
      </c>
      <c r="H234" t="s">
        <v>989</v>
      </c>
      <c r="I234" t="str">
        <f>VLOOKUP(C234,Customers!A:B,2,FALSE)</f>
        <v>2023:11:30</v>
      </c>
      <c r="J234">
        <f>IFERROR(VLOOKUP($A234,Sheet3!$A:$E,2,FALSE),"")</f>
        <v>31</v>
      </c>
      <c r="K234" t="str">
        <f>IFERROR(VLOOKUP($A234,Sheet3!$A:$E,3,FALSE),"")</f>
        <v>22</v>
      </c>
      <c r="L234" t="str">
        <f>IFERROR(VLOOKUP($A234,Sheet3!$A:$E,4,FALSE),"")</f>
        <v>2024-07-05T11:34:10.000Z</v>
      </c>
      <c r="M234" t="str">
        <f>IFERROR(VLOOKUP($A234,Sheet3!$A:$E,5,FALSE),"")</f>
        <v>2026-01-06T05:58:42.000Z</v>
      </c>
      <c r="N234" s="4">
        <f t="shared" si="7"/>
        <v>218</v>
      </c>
      <c r="O234" t="s">
        <v>2808</v>
      </c>
    </row>
    <row r="235" spans="1:15" x14ac:dyDescent="0.25">
      <c r="A235" t="s">
        <v>990</v>
      </c>
      <c r="B235" t="s">
        <v>318</v>
      </c>
      <c r="C235" t="s">
        <v>29</v>
      </c>
      <c r="D235" t="s">
        <v>319</v>
      </c>
      <c r="E235" t="s">
        <v>320</v>
      </c>
      <c r="F235" t="s">
        <v>991</v>
      </c>
      <c r="G235" s="4">
        <f t="shared" si="6"/>
        <v>894.26666666666665</v>
      </c>
      <c r="H235" t="s">
        <v>992</v>
      </c>
      <c r="I235" t="str">
        <f>VLOOKUP(C235,Customers!A:B,2,FALSE)</f>
        <v>2023:11:30</v>
      </c>
      <c r="J235">
        <f>IFERROR(VLOOKUP($A235,Sheet3!$A:$E,2,FALSE),"")</f>
        <v>31</v>
      </c>
      <c r="K235" t="str">
        <f>IFERROR(VLOOKUP($A235,Sheet3!$A:$E,3,FALSE),"")</f>
        <v>16</v>
      </c>
      <c r="L235" t="str">
        <f>IFERROR(VLOOKUP($A235,Sheet3!$A:$E,4,FALSE),"")</f>
        <v>2024-06-08T10:38:03.000Z</v>
      </c>
      <c r="M235" t="str">
        <f>IFERROR(VLOOKUP($A235,Sheet3!$A:$E,5,FALSE),"")</f>
        <v>2026-02-07T06:34:53.000Z</v>
      </c>
      <c r="N235" s="4">
        <f t="shared" si="7"/>
        <v>191</v>
      </c>
      <c r="O235" t="s">
        <v>2809</v>
      </c>
    </row>
    <row r="236" spans="1:15" x14ac:dyDescent="0.25">
      <c r="A236" t="s">
        <v>993</v>
      </c>
      <c r="B236" t="s">
        <v>318</v>
      </c>
      <c r="C236" t="s">
        <v>29</v>
      </c>
      <c r="D236" t="s">
        <v>319</v>
      </c>
      <c r="E236" t="s">
        <v>320</v>
      </c>
      <c r="F236" t="s">
        <v>994</v>
      </c>
      <c r="G236" s="4">
        <f t="shared" si="6"/>
        <v>707.91666666666663</v>
      </c>
      <c r="H236" t="s">
        <v>995</v>
      </c>
      <c r="I236" t="str">
        <f>VLOOKUP(C236,Customers!A:B,2,FALSE)</f>
        <v>2023:11:30</v>
      </c>
      <c r="J236">
        <f>IFERROR(VLOOKUP($A236,Sheet3!$A:$E,2,FALSE),"")</f>
        <v>15</v>
      </c>
      <c r="K236" t="str">
        <f>IFERROR(VLOOKUP($A236,Sheet3!$A:$E,3,FALSE),"")</f>
        <v>0</v>
      </c>
      <c r="L236" t="str">
        <f>IFERROR(VLOOKUP($A236,Sheet3!$A:$E,4,FALSE),"")</f>
        <v>2024-05-26T05:37:42.000Z</v>
      </c>
      <c r="M236" t="str">
        <f>IFERROR(VLOOKUP($A236,Sheet3!$A:$E,5,FALSE),"")</f>
        <v>2026-02-03T06:30:45.000Z</v>
      </c>
      <c r="N236" s="4">
        <f t="shared" si="7"/>
        <v>178</v>
      </c>
      <c r="O236" t="s">
        <v>2808</v>
      </c>
    </row>
    <row r="237" spans="1:15" x14ac:dyDescent="0.25">
      <c r="A237" t="s">
        <v>996</v>
      </c>
      <c r="B237" t="s">
        <v>318</v>
      </c>
      <c r="C237" t="s">
        <v>29</v>
      </c>
      <c r="D237" t="s">
        <v>319</v>
      </c>
      <c r="E237" t="s">
        <v>320</v>
      </c>
      <c r="F237" t="s">
        <v>997</v>
      </c>
      <c r="G237" s="4">
        <f t="shared" si="6"/>
        <v>970.01666666666665</v>
      </c>
      <c r="H237" t="s">
        <v>998</v>
      </c>
      <c r="I237" t="str">
        <f>VLOOKUP(C237,Customers!A:B,2,FALSE)</f>
        <v>2023:11:30</v>
      </c>
      <c r="J237">
        <f>IFERROR(VLOOKUP($A237,Sheet3!$A:$E,2,FALSE),"")</f>
        <v>16</v>
      </c>
      <c r="K237" t="str">
        <f>IFERROR(VLOOKUP($A237,Sheet3!$A:$E,3,FALSE),"")</f>
        <v>7</v>
      </c>
      <c r="L237" t="str">
        <f>IFERROR(VLOOKUP($A237,Sheet3!$A:$E,4,FALSE),"")</f>
        <v>2024-06-30T07:54:26.000Z</v>
      </c>
      <c r="M237" t="str">
        <f>IFERROR(VLOOKUP($A237,Sheet3!$A:$E,5,FALSE),"")</f>
        <v>2025-09-08T04:44:29.000Z</v>
      </c>
      <c r="N237" s="4">
        <f t="shared" si="7"/>
        <v>213</v>
      </c>
      <c r="O237" t="s">
        <v>2809</v>
      </c>
    </row>
    <row r="238" spans="1:15" x14ac:dyDescent="0.25">
      <c r="A238" t="s">
        <v>999</v>
      </c>
      <c r="B238" t="s">
        <v>318</v>
      </c>
      <c r="C238" t="s">
        <v>29</v>
      </c>
      <c r="D238" t="s">
        <v>319</v>
      </c>
      <c r="E238" t="s">
        <v>320</v>
      </c>
      <c r="F238" t="s">
        <v>1000</v>
      </c>
      <c r="G238" s="4">
        <f t="shared" si="6"/>
        <v>1118.8499999999999</v>
      </c>
      <c r="H238" t="s">
        <v>1001</v>
      </c>
      <c r="I238" t="str">
        <f>VLOOKUP(C238,Customers!A:B,2,FALSE)</f>
        <v>2023:11:30</v>
      </c>
      <c r="J238">
        <f>IFERROR(VLOOKUP($A238,Sheet3!$A:$E,2,FALSE),"")</f>
        <v>18</v>
      </c>
      <c r="K238" t="str">
        <f>IFERROR(VLOOKUP($A238,Sheet3!$A:$E,3,FALSE),"")</f>
        <v>8</v>
      </c>
      <c r="L238" t="str">
        <f>IFERROR(VLOOKUP($A238,Sheet3!$A:$E,4,FALSE),"")</f>
        <v>2024-07-18T11:32:57.000Z</v>
      </c>
      <c r="M238" t="str">
        <f>IFERROR(VLOOKUP($A238,Sheet3!$A:$E,5,FALSE),"")</f>
        <v>2025-09-28T04:58:10.000Z</v>
      </c>
      <c r="N238" s="4">
        <f t="shared" si="7"/>
        <v>231</v>
      </c>
      <c r="O238" t="s">
        <v>2808</v>
      </c>
    </row>
    <row r="239" spans="1:15" x14ac:dyDescent="0.25">
      <c r="A239" t="s">
        <v>1002</v>
      </c>
      <c r="B239" t="s">
        <v>318</v>
      </c>
      <c r="C239" t="s">
        <v>46</v>
      </c>
      <c r="D239" t="s">
        <v>637</v>
      </c>
      <c r="E239" t="s">
        <v>638</v>
      </c>
      <c r="F239" t="s">
        <v>316</v>
      </c>
      <c r="G239" s="4" t="str">
        <f t="shared" si="6"/>
        <v/>
      </c>
      <c r="H239" t="s">
        <v>198</v>
      </c>
      <c r="I239" t="str">
        <f>VLOOKUP(C239,Customers!A:B,2,FALSE)</f>
        <v>2024:06:28</v>
      </c>
      <c r="J239" t="str">
        <f>IFERROR(VLOOKUP($A239,Sheet3!$A:$E,2,FALSE),"")</f>
        <v/>
      </c>
      <c r="K239" t="str">
        <f>IFERROR(VLOOKUP($A239,Sheet3!$A:$E,3,FALSE),"")</f>
        <v/>
      </c>
      <c r="L239" t="str">
        <f>IFERROR(VLOOKUP($A239,Sheet3!$A:$E,4,FALSE),"")</f>
        <v/>
      </c>
      <c r="M239" t="str">
        <f>IFERROR(VLOOKUP($A239,Sheet3!$A:$E,5,FALSE),"")</f>
        <v/>
      </c>
      <c r="N239" s="4" t="str">
        <f t="shared" si="7"/>
        <v/>
      </c>
      <c r="O239" t="s">
        <v>2809</v>
      </c>
    </row>
    <row r="240" spans="1:15" x14ac:dyDescent="0.25">
      <c r="A240" t="s">
        <v>1003</v>
      </c>
      <c r="B240" t="s">
        <v>318</v>
      </c>
      <c r="C240" t="s">
        <v>46</v>
      </c>
      <c r="D240" t="s">
        <v>637</v>
      </c>
      <c r="E240" t="s">
        <v>638</v>
      </c>
      <c r="F240" t="s">
        <v>316</v>
      </c>
      <c r="G240" s="4" t="str">
        <f t="shared" si="6"/>
        <v/>
      </c>
      <c r="H240" t="s">
        <v>198</v>
      </c>
      <c r="I240" t="str">
        <f>VLOOKUP(C240,Customers!A:B,2,FALSE)</f>
        <v>2024:06:28</v>
      </c>
      <c r="J240">
        <f>IFERROR(VLOOKUP($A240,Sheet3!$A:$E,2,FALSE),"")</f>
        <v>1</v>
      </c>
      <c r="K240" t="str">
        <f>IFERROR(VLOOKUP($A240,Sheet3!$A:$E,3,FALSE),"")</f>
        <v>0</v>
      </c>
      <c r="L240" t="str">
        <f>IFERROR(VLOOKUP($A240,Sheet3!$A:$E,4,FALSE),"")</f>
        <v>2024-07-17T12:39:17.000Z</v>
      </c>
      <c r="M240" t="str">
        <f>IFERROR(VLOOKUP($A240,Sheet3!$A:$E,5,FALSE),"")</f>
        <v>2024-07-17T12:39:17.000Z</v>
      </c>
      <c r="N240" s="4">
        <f t="shared" si="7"/>
        <v>19</v>
      </c>
      <c r="O240" t="s">
        <v>2808</v>
      </c>
    </row>
    <row r="241" spans="1:15" x14ac:dyDescent="0.25">
      <c r="A241" t="s">
        <v>1004</v>
      </c>
      <c r="B241" t="s">
        <v>318</v>
      </c>
      <c r="C241" t="s">
        <v>29</v>
      </c>
      <c r="D241" t="s">
        <v>319</v>
      </c>
      <c r="E241" t="s">
        <v>320</v>
      </c>
      <c r="F241" t="s">
        <v>1005</v>
      </c>
      <c r="G241" s="4">
        <f t="shared" si="6"/>
        <v>417.21666666666664</v>
      </c>
      <c r="H241" t="s">
        <v>1006</v>
      </c>
      <c r="I241" t="str">
        <f>VLOOKUP(C241,Customers!A:B,2,FALSE)</f>
        <v>2023:11:30</v>
      </c>
      <c r="J241">
        <f>IFERROR(VLOOKUP($A241,Sheet3!$A:$E,2,FALSE),"")</f>
        <v>29</v>
      </c>
      <c r="K241" t="str">
        <f>IFERROR(VLOOKUP($A241,Sheet3!$A:$E,3,FALSE),"")</f>
        <v>2</v>
      </c>
      <c r="L241" t="str">
        <f>IFERROR(VLOOKUP($A241,Sheet3!$A:$E,4,FALSE),"")</f>
        <v>2024-07-26T04:53:18.000Z</v>
      </c>
      <c r="M241" t="str">
        <f>IFERROR(VLOOKUP($A241,Sheet3!$A:$E,5,FALSE),"")</f>
        <v>2026-01-09T07:12:03.000Z</v>
      </c>
      <c r="N241" s="4">
        <f t="shared" si="7"/>
        <v>239</v>
      </c>
      <c r="O241" t="s">
        <v>2809</v>
      </c>
    </row>
    <row r="242" spans="1:15" x14ac:dyDescent="0.25">
      <c r="A242" t="s">
        <v>1007</v>
      </c>
      <c r="B242" t="s">
        <v>318</v>
      </c>
      <c r="C242" t="s">
        <v>29</v>
      </c>
      <c r="D242" t="s">
        <v>319</v>
      </c>
      <c r="E242" t="s">
        <v>320</v>
      </c>
      <c r="F242" t="s">
        <v>1008</v>
      </c>
      <c r="G242" s="4">
        <f t="shared" si="6"/>
        <v>294.41666666666669</v>
      </c>
      <c r="H242" t="s">
        <v>1009</v>
      </c>
      <c r="I242" t="str">
        <f>VLOOKUP(C242,Customers!A:B,2,FALSE)</f>
        <v>2023:11:30</v>
      </c>
      <c r="J242">
        <f>IFERROR(VLOOKUP($A242,Sheet3!$A:$E,2,FALSE),"")</f>
        <v>3</v>
      </c>
      <c r="K242" t="str">
        <f>IFERROR(VLOOKUP($A242,Sheet3!$A:$E,3,FALSE),"")</f>
        <v>0</v>
      </c>
      <c r="L242" t="str">
        <f>IFERROR(VLOOKUP($A242,Sheet3!$A:$E,4,FALSE),"")</f>
        <v>2024-05-23T04:23:53.000Z</v>
      </c>
      <c r="M242" t="str">
        <f>IFERROR(VLOOKUP($A242,Sheet3!$A:$E,5,FALSE),"")</f>
        <v>2025-05-31T08:55:37.000Z</v>
      </c>
      <c r="N242" s="4">
        <f t="shared" si="7"/>
        <v>175</v>
      </c>
      <c r="O242" t="s">
        <v>2808</v>
      </c>
    </row>
    <row r="243" spans="1:15" x14ac:dyDescent="0.25">
      <c r="A243" t="s">
        <v>1010</v>
      </c>
      <c r="B243" t="s">
        <v>318</v>
      </c>
      <c r="C243" t="s">
        <v>46</v>
      </c>
      <c r="D243" t="s">
        <v>637</v>
      </c>
      <c r="E243" t="s">
        <v>638</v>
      </c>
      <c r="F243" t="s">
        <v>316</v>
      </c>
      <c r="G243" s="4" t="str">
        <f t="shared" si="6"/>
        <v/>
      </c>
      <c r="H243" t="s">
        <v>198</v>
      </c>
      <c r="I243" t="str">
        <f>VLOOKUP(C243,Customers!A:B,2,FALSE)</f>
        <v>2024:06:28</v>
      </c>
      <c r="J243" t="str">
        <f>IFERROR(VLOOKUP($A243,Sheet3!$A:$E,2,FALSE),"")</f>
        <v/>
      </c>
      <c r="K243" t="str">
        <f>IFERROR(VLOOKUP($A243,Sheet3!$A:$E,3,FALSE),"")</f>
        <v/>
      </c>
      <c r="L243" t="str">
        <f>IFERROR(VLOOKUP($A243,Sheet3!$A:$E,4,FALSE),"")</f>
        <v/>
      </c>
      <c r="M243" t="str">
        <f>IFERROR(VLOOKUP($A243,Sheet3!$A:$E,5,FALSE),"")</f>
        <v/>
      </c>
      <c r="N243" s="4" t="str">
        <f t="shared" si="7"/>
        <v/>
      </c>
      <c r="O243" t="s">
        <v>2809</v>
      </c>
    </row>
    <row r="244" spans="1:15" x14ac:dyDescent="0.25">
      <c r="A244" t="s">
        <v>1011</v>
      </c>
      <c r="B244" t="s">
        <v>318</v>
      </c>
      <c r="C244" t="s">
        <v>29</v>
      </c>
      <c r="D244" t="s">
        <v>319</v>
      </c>
      <c r="E244" t="s">
        <v>320</v>
      </c>
      <c r="F244" t="s">
        <v>1012</v>
      </c>
      <c r="G244" s="4">
        <f t="shared" si="6"/>
        <v>24.65</v>
      </c>
      <c r="H244" t="s">
        <v>1013</v>
      </c>
      <c r="I244" t="str">
        <f>VLOOKUP(C244,Customers!A:B,2,FALSE)</f>
        <v>2023:11:30</v>
      </c>
      <c r="J244">
        <f>IFERROR(VLOOKUP($A244,Sheet3!$A:$E,2,FALSE),"")</f>
        <v>15</v>
      </c>
      <c r="K244" t="str">
        <f>IFERROR(VLOOKUP($A244,Sheet3!$A:$E,3,FALSE),"")</f>
        <v>4</v>
      </c>
      <c r="L244" t="str">
        <f>IFERROR(VLOOKUP($A244,Sheet3!$A:$E,4,FALSE),"")</f>
        <v>2024-08-27T04:27:56.000Z</v>
      </c>
      <c r="M244" t="str">
        <f>IFERROR(VLOOKUP($A244,Sheet3!$A:$E,5,FALSE),"")</f>
        <v>2025-08-05T05:06:48.000Z</v>
      </c>
      <c r="N244" s="4">
        <f t="shared" si="7"/>
        <v>271</v>
      </c>
      <c r="O244" t="s">
        <v>2808</v>
      </c>
    </row>
    <row r="245" spans="1:15" x14ac:dyDescent="0.25">
      <c r="A245" t="s">
        <v>1014</v>
      </c>
      <c r="B245" t="s">
        <v>318</v>
      </c>
      <c r="C245" t="s">
        <v>29</v>
      </c>
      <c r="D245" t="s">
        <v>319</v>
      </c>
      <c r="E245" t="s">
        <v>320</v>
      </c>
      <c r="F245" t="s">
        <v>1015</v>
      </c>
      <c r="G245" s="4">
        <f t="shared" si="6"/>
        <v>861.68333333333328</v>
      </c>
      <c r="H245" t="s">
        <v>1016</v>
      </c>
      <c r="I245" t="str">
        <f>VLOOKUP(C245,Customers!A:B,2,FALSE)</f>
        <v>2023:11:30</v>
      </c>
      <c r="J245">
        <f>IFERROR(VLOOKUP($A245,Sheet3!$A:$E,2,FALSE),"")</f>
        <v>28</v>
      </c>
      <c r="K245" t="str">
        <f>IFERROR(VLOOKUP($A245,Sheet3!$A:$E,3,FALSE),"")</f>
        <v>5</v>
      </c>
      <c r="L245" t="str">
        <f>IFERROR(VLOOKUP($A245,Sheet3!$A:$E,4,FALSE),"")</f>
        <v>2024-07-15T06:33:23.000Z</v>
      </c>
      <c r="M245" t="str">
        <f>IFERROR(VLOOKUP($A245,Sheet3!$A:$E,5,FALSE),"")</f>
        <v>2025-10-06T00:05:36.000Z</v>
      </c>
      <c r="N245" s="4">
        <f t="shared" si="7"/>
        <v>228</v>
      </c>
      <c r="O245" t="s">
        <v>2809</v>
      </c>
    </row>
    <row r="246" spans="1:15" x14ac:dyDescent="0.25">
      <c r="A246" t="s">
        <v>1017</v>
      </c>
      <c r="B246" t="s">
        <v>318</v>
      </c>
      <c r="C246" t="s">
        <v>29</v>
      </c>
      <c r="D246" t="s">
        <v>319</v>
      </c>
      <c r="E246" t="s">
        <v>320</v>
      </c>
      <c r="F246" t="s">
        <v>1018</v>
      </c>
      <c r="G246" s="4">
        <f t="shared" si="6"/>
        <v>410.55</v>
      </c>
      <c r="H246" t="s">
        <v>1019</v>
      </c>
      <c r="I246" t="str">
        <f>VLOOKUP(C246,Customers!A:B,2,FALSE)</f>
        <v>2023:11:30</v>
      </c>
      <c r="J246">
        <f>IFERROR(VLOOKUP($A246,Sheet3!$A:$E,2,FALSE),"")</f>
        <v>25</v>
      </c>
      <c r="K246" t="str">
        <f>IFERROR(VLOOKUP($A246,Sheet3!$A:$E,3,FALSE),"")</f>
        <v>3</v>
      </c>
      <c r="L246" t="str">
        <f>IFERROR(VLOOKUP($A246,Sheet3!$A:$E,4,FALSE),"")</f>
        <v>2024-07-02T04:16:04.000Z</v>
      </c>
      <c r="M246" t="str">
        <f>IFERROR(VLOOKUP($A246,Sheet3!$A:$E,5,FALSE),"")</f>
        <v>2026-01-17T12:43:58.000Z</v>
      </c>
      <c r="N246" s="4">
        <f t="shared" si="7"/>
        <v>215</v>
      </c>
      <c r="O246" t="s">
        <v>2808</v>
      </c>
    </row>
    <row r="247" spans="1:15" x14ac:dyDescent="0.25">
      <c r="A247" t="s">
        <v>1020</v>
      </c>
      <c r="B247" t="s">
        <v>318</v>
      </c>
      <c r="C247" t="s">
        <v>29</v>
      </c>
      <c r="D247" t="s">
        <v>319</v>
      </c>
      <c r="E247" t="s">
        <v>320</v>
      </c>
      <c r="F247" t="s">
        <v>1021</v>
      </c>
      <c r="G247" s="4">
        <f t="shared" si="6"/>
        <v>1038.6666666666667</v>
      </c>
      <c r="H247" t="s">
        <v>1022</v>
      </c>
      <c r="I247" t="str">
        <f>VLOOKUP(C247,Customers!A:B,2,FALSE)</f>
        <v>2023:11:30</v>
      </c>
      <c r="J247">
        <f>IFERROR(VLOOKUP($A247,Sheet3!$A:$E,2,FALSE),"")</f>
        <v>34</v>
      </c>
      <c r="K247" t="str">
        <f>IFERROR(VLOOKUP($A247,Sheet3!$A:$E,3,FALSE),"")</f>
        <v>21</v>
      </c>
      <c r="L247" t="str">
        <f>IFERROR(VLOOKUP($A247,Sheet3!$A:$E,4,FALSE),"")</f>
        <v>2024-06-25T04:49:26.000Z</v>
      </c>
      <c r="M247" t="str">
        <f>IFERROR(VLOOKUP($A247,Sheet3!$A:$E,5,FALSE),"")</f>
        <v>2026-04-13T05:01:51.000Z</v>
      </c>
      <c r="N247" s="4">
        <f t="shared" si="7"/>
        <v>208</v>
      </c>
      <c r="O247" t="s">
        <v>2809</v>
      </c>
    </row>
    <row r="248" spans="1:15" x14ac:dyDescent="0.25">
      <c r="A248" t="s">
        <v>1023</v>
      </c>
      <c r="B248" t="s">
        <v>318</v>
      </c>
      <c r="C248" t="s">
        <v>29</v>
      </c>
      <c r="D248" t="s">
        <v>319</v>
      </c>
      <c r="E248" t="s">
        <v>320</v>
      </c>
      <c r="F248" t="s">
        <v>1024</v>
      </c>
      <c r="G248" s="4">
        <f t="shared" si="6"/>
        <v>38.56666666666667</v>
      </c>
      <c r="H248" t="s">
        <v>1025</v>
      </c>
      <c r="I248" t="str">
        <f>VLOOKUP(C248,Customers!A:B,2,FALSE)</f>
        <v>2023:11:30</v>
      </c>
      <c r="J248">
        <f>IFERROR(VLOOKUP($A248,Sheet3!$A:$E,2,FALSE),"")</f>
        <v>36</v>
      </c>
      <c r="K248" t="str">
        <f>IFERROR(VLOOKUP($A248,Sheet3!$A:$E,3,FALSE),"")</f>
        <v>8</v>
      </c>
      <c r="L248" t="str">
        <f>IFERROR(VLOOKUP($A248,Sheet3!$A:$E,4,FALSE),"")</f>
        <v>2024-05-15T10:42:51.000Z</v>
      </c>
      <c r="M248" t="str">
        <f>IFERROR(VLOOKUP($A248,Sheet3!$A:$E,5,FALSE),"")</f>
        <v>2026-01-21T09:22:55.000Z</v>
      </c>
      <c r="N248" s="4">
        <f t="shared" si="7"/>
        <v>167</v>
      </c>
      <c r="O248" t="s">
        <v>2808</v>
      </c>
    </row>
    <row r="249" spans="1:15" x14ac:dyDescent="0.25">
      <c r="A249" t="s">
        <v>1026</v>
      </c>
      <c r="B249" t="s">
        <v>318</v>
      </c>
      <c r="C249" t="s">
        <v>29</v>
      </c>
      <c r="D249" t="s">
        <v>319</v>
      </c>
      <c r="E249" t="s">
        <v>320</v>
      </c>
      <c r="F249" t="s">
        <v>1027</v>
      </c>
      <c r="G249" s="4">
        <f t="shared" si="6"/>
        <v>241.48333333333332</v>
      </c>
      <c r="H249" t="s">
        <v>1028</v>
      </c>
      <c r="I249" t="str">
        <f>VLOOKUP(C249,Customers!A:B,2,FALSE)</f>
        <v>2023:11:30</v>
      </c>
      <c r="J249">
        <f>IFERROR(VLOOKUP($A249,Sheet3!$A:$E,2,FALSE),"")</f>
        <v>1</v>
      </c>
      <c r="K249" t="str">
        <f>IFERROR(VLOOKUP($A249,Sheet3!$A:$E,3,FALSE),"")</f>
        <v>0</v>
      </c>
      <c r="L249" t="str">
        <f>IFERROR(VLOOKUP($A249,Sheet3!$A:$E,4,FALSE),"")</f>
        <v>2024-07-27T12:03:21.000Z</v>
      </c>
      <c r="M249" t="str">
        <f>IFERROR(VLOOKUP($A249,Sheet3!$A:$E,5,FALSE),"")</f>
        <v>2024-07-27T12:03:21.000Z</v>
      </c>
      <c r="N249" s="4">
        <f t="shared" si="7"/>
        <v>240</v>
      </c>
      <c r="O249" t="s">
        <v>2809</v>
      </c>
    </row>
    <row r="250" spans="1:15" x14ac:dyDescent="0.25">
      <c r="A250" t="s">
        <v>1029</v>
      </c>
      <c r="B250" t="s">
        <v>318</v>
      </c>
      <c r="C250" t="s">
        <v>29</v>
      </c>
      <c r="D250" t="s">
        <v>319</v>
      </c>
      <c r="E250" t="s">
        <v>320</v>
      </c>
      <c r="F250" t="s">
        <v>1030</v>
      </c>
      <c r="G250" s="4">
        <f t="shared" si="6"/>
        <v>855.6</v>
      </c>
      <c r="H250" t="s">
        <v>1031</v>
      </c>
      <c r="I250" t="str">
        <f>VLOOKUP(C250,Customers!A:B,2,FALSE)</f>
        <v>2023:11:30</v>
      </c>
      <c r="J250">
        <f>IFERROR(VLOOKUP($A250,Sheet3!$A:$E,2,FALSE),"")</f>
        <v>16</v>
      </c>
      <c r="K250" t="str">
        <f>IFERROR(VLOOKUP($A250,Sheet3!$A:$E,3,FALSE),"")</f>
        <v>10</v>
      </c>
      <c r="L250" t="str">
        <f>IFERROR(VLOOKUP($A250,Sheet3!$A:$E,4,FALSE),"")</f>
        <v>2024-06-11T08:20:27.000Z</v>
      </c>
      <c r="M250" t="str">
        <f>IFERROR(VLOOKUP($A250,Sheet3!$A:$E,5,FALSE),"")</f>
        <v>2026-02-04T02:38:29.000Z</v>
      </c>
      <c r="N250" s="4">
        <f t="shared" si="7"/>
        <v>194</v>
      </c>
      <c r="O250" t="s">
        <v>2808</v>
      </c>
    </row>
    <row r="251" spans="1:15" x14ac:dyDescent="0.25">
      <c r="A251" t="s">
        <v>1032</v>
      </c>
      <c r="B251" t="s">
        <v>318</v>
      </c>
      <c r="C251" t="s">
        <v>29</v>
      </c>
      <c r="D251" t="s">
        <v>319</v>
      </c>
      <c r="E251" t="s">
        <v>320</v>
      </c>
      <c r="F251" t="s">
        <v>1033</v>
      </c>
      <c r="G251" s="4">
        <f t="shared" si="6"/>
        <v>1246.3499999999999</v>
      </c>
      <c r="H251" t="s">
        <v>1034</v>
      </c>
      <c r="I251" t="str">
        <f>VLOOKUP(C251,Customers!A:B,2,FALSE)</f>
        <v>2023:11:30</v>
      </c>
      <c r="J251">
        <f>IFERROR(VLOOKUP($A251,Sheet3!$A:$E,2,FALSE),"")</f>
        <v>17</v>
      </c>
      <c r="K251" t="str">
        <f>IFERROR(VLOOKUP($A251,Sheet3!$A:$E,3,FALSE),"")</f>
        <v>8</v>
      </c>
      <c r="L251" t="str">
        <f>IFERROR(VLOOKUP($A251,Sheet3!$A:$E,4,FALSE),"")</f>
        <v>2024-07-10T13:28:16.000Z</v>
      </c>
      <c r="M251" t="str">
        <f>IFERROR(VLOOKUP($A251,Sheet3!$A:$E,5,FALSE),"")</f>
        <v>2025-09-23T13:18:03.000Z</v>
      </c>
      <c r="N251" s="4">
        <f t="shared" si="7"/>
        <v>223</v>
      </c>
      <c r="O251" t="s">
        <v>2809</v>
      </c>
    </row>
    <row r="252" spans="1:15" x14ac:dyDescent="0.25">
      <c r="A252" t="s">
        <v>1035</v>
      </c>
      <c r="B252" t="s">
        <v>318</v>
      </c>
      <c r="C252" t="s">
        <v>29</v>
      </c>
      <c r="D252" t="s">
        <v>319</v>
      </c>
      <c r="E252" t="s">
        <v>320</v>
      </c>
      <c r="F252" t="s">
        <v>1036</v>
      </c>
      <c r="G252" s="4">
        <f t="shared" si="6"/>
        <v>729.7</v>
      </c>
      <c r="H252" t="s">
        <v>1037</v>
      </c>
      <c r="I252" t="str">
        <f>VLOOKUP(C252,Customers!A:B,2,FALSE)</f>
        <v>2023:11:30</v>
      </c>
      <c r="J252">
        <f>IFERROR(VLOOKUP($A252,Sheet3!$A:$E,2,FALSE),"")</f>
        <v>36</v>
      </c>
      <c r="K252" t="str">
        <f>IFERROR(VLOOKUP($A252,Sheet3!$A:$E,3,FALSE),"")</f>
        <v>17</v>
      </c>
      <c r="L252" t="str">
        <f>IFERROR(VLOOKUP($A252,Sheet3!$A:$E,4,FALSE),"")</f>
        <v>2024-07-21T11:03:10.000Z</v>
      </c>
      <c r="M252" t="str">
        <f>IFERROR(VLOOKUP($A252,Sheet3!$A:$E,5,FALSE),"")</f>
        <v>2026-01-30T09:38:50.000Z</v>
      </c>
      <c r="N252" s="4">
        <f t="shared" si="7"/>
        <v>234</v>
      </c>
      <c r="O252" t="s">
        <v>2808</v>
      </c>
    </row>
    <row r="253" spans="1:15" x14ac:dyDescent="0.25">
      <c r="A253" t="s">
        <v>1038</v>
      </c>
      <c r="B253" t="s">
        <v>318</v>
      </c>
      <c r="C253" t="s">
        <v>46</v>
      </c>
      <c r="D253" t="s">
        <v>637</v>
      </c>
      <c r="E253" t="s">
        <v>638</v>
      </c>
      <c r="F253" t="s">
        <v>316</v>
      </c>
      <c r="G253" s="4" t="str">
        <f t="shared" si="6"/>
        <v/>
      </c>
      <c r="H253" t="s">
        <v>198</v>
      </c>
      <c r="I253" t="str">
        <f>VLOOKUP(C253,Customers!A:B,2,FALSE)</f>
        <v>2024:06:28</v>
      </c>
      <c r="J253">
        <f>IFERROR(VLOOKUP($A253,Sheet3!$A:$E,2,FALSE),"")</f>
        <v>1</v>
      </c>
      <c r="K253" t="str">
        <f>IFERROR(VLOOKUP($A253,Sheet3!$A:$E,3,FALSE),"")</f>
        <v>0</v>
      </c>
      <c r="L253" t="str">
        <f>IFERROR(VLOOKUP($A253,Sheet3!$A:$E,4,FALSE),"")</f>
        <v>2024-07-17T10:39:33.000Z</v>
      </c>
      <c r="M253" t="str">
        <f>IFERROR(VLOOKUP($A253,Sheet3!$A:$E,5,FALSE),"")</f>
        <v>2024-07-17T10:39:33.000Z</v>
      </c>
      <c r="N253" s="4">
        <f t="shared" si="7"/>
        <v>19</v>
      </c>
      <c r="O253" t="s">
        <v>2809</v>
      </c>
    </row>
    <row r="254" spans="1:15" x14ac:dyDescent="0.25">
      <c r="A254" t="s">
        <v>1039</v>
      </c>
      <c r="B254" t="s">
        <v>318</v>
      </c>
      <c r="C254" t="s">
        <v>29</v>
      </c>
      <c r="D254" t="s">
        <v>319</v>
      </c>
      <c r="E254" t="s">
        <v>320</v>
      </c>
      <c r="F254" t="s">
        <v>1040</v>
      </c>
      <c r="G254" s="4">
        <f t="shared" si="6"/>
        <v>983.5333333333333</v>
      </c>
      <c r="H254" t="s">
        <v>1041</v>
      </c>
      <c r="I254" t="str">
        <f>VLOOKUP(C254,Customers!A:B,2,FALSE)</f>
        <v>2023:11:30</v>
      </c>
      <c r="J254">
        <f>IFERROR(VLOOKUP($A254,Sheet3!$A:$E,2,FALSE),"")</f>
        <v>29</v>
      </c>
      <c r="K254" t="str">
        <f>IFERROR(VLOOKUP($A254,Sheet3!$A:$E,3,FALSE),"")</f>
        <v>16</v>
      </c>
      <c r="L254" t="str">
        <f>IFERROR(VLOOKUP($A254,Sheet3!$A:$E,4,FALSE),"")</f>
        <v>2024-10-18T08:10:03.000Z</v>
      </c>
      <c r="M254" t="str">
        <f>IFERROR(VLOOKUP($A254,Sheet3!$A:$E,5,FALSE),"")</f>
        <v>2025-09-23T03:26:04.000Z</v>
      </c>
      <c r="N254" s="4">
        <f t="shared" si="7"/>
        <v>323</v>
      </c>
      <c r="O254" t="s">
        <v>2808</v>
      </c>
    </row>
    <row r="255" spans="1:15" x14ac:dyDescent="0.25">
      <c r="A255" t="s">
        <v>1042</v>
      </c>
      <c r="B255" t="s">
        <v>318</v>
      </c>
      <c r="C255" t="s">
        <v>29</v>
      </c>
      <c r="D255" t="s">
        <v>319</v>
      </c>
      <c r="E255" t="s">
        <v>320</v>
      </c>
      <c r="F255" t="s">
        <v>1043</v>
      </c>
      <c r="G255" s="4">
        <f t="shared" si="6"/>
        <v>1262.3333333333333</v>
      </c>
      <c r="H255" t="s">
        <v>1044</v>
      </c>
      <c r="I255" t="str">
        <f>VLOOKUP(C255,Customers!A:B,2,FALSE)</f>
        <v>2023:11:30</v>
      </c>
      <c r="J255">
        <f>IFERROR(VLOOKUP($A255,Sheet3!$A:$E,2,FALSE),"")</f>
        <v>4</v>
      </c>
      <c r="K255" t="str">
        <f>IFERROR(VLOOKUP($A255,Sheet3!$A:$E,3,FALSE),"")</f>
        <v>1</v>
      </c>
      <c r="L255" t="str">
        <f>IFERROR(VLOOKUP($A255,Sheet3!$A:$E,4,FALSE),"")</f>
        <v>2025-07-01T12:06:13.000Z</v>
      </c>
      <c r="M255" t="str">
        <f>IFERROR(VLOOKUP($A255,Sheet3!$A:$E,5,FALSE),"")</f>
        <v>2026-04-20T03:42:27.000Z</v>
      </c>
      <c r="N255" s="4">
        <f t="shared" si="7"/>
        <v>579</v>
      </c>
      <c r="O255" t="s">
        <v>2809</v>
      </c>
    </row>
    <row r="256" spans="1:15" x14ac:dyDescent="0.25">
      <c r="A256" t="s">
        <v>1045</v>
      </c>
      <c r="B256" t="s">
        <v>318</v>
      </c>
      <c r="C256" t="s">
        <v>29</v>
      </c>
      <c r="D256" t="s">
        <v>319</v>
      </c>
      <c r="E256" t="s">
        <v>320</v>
      </c>
      <c r="F256" t="s">
        <v>1046</v>
      </c>
      <c r="G256" s="4">
        <f t="shared" si="6"/>
        <v>369.08333333333331</v>
      </c>
      <c r="H256" t="s">
        <v>1047</v>
      </c>
      <c r="I256" t="str">
        <f>VLOOKUP(C256,Customers!A:B,2,FALSE)</f>
        <v>2023:11:30</v>
      </c>
      <c r="J256">
        <f>IFERROR(VLOOKUP($A256,Sheet3!$A:$E,2,FALSE),"")</f>
        <v>19</v>
      </c>
      <c r="K256" t="str">
        <f>IFERROR(VLOOKUP($A256,Sheet3!$A:$E,3,FALSE),"")</f>
        <v>7</v>
      </c>
      <c r="L256" t="str">
        <f>IFERROR(VLOOKUP($A256,Sheet3!$A:$E,4,FALSE),"")</f>
        <v>2024-11-05T16:26:31.000Z</v>
      </c>
      <c r="M256" t="str">
        <f>IFERROR(VLOOKUP($A256,Sheet3!$A:$E,5,FALSE),"")</f>
        <v>2026-03-16T05:14:36.000Z</v>
      </c>
      <c r="N256" s="4">
        <f t="shared" si="7"/>
        <v>341</v>
      </c>
      <c r="O256" t="s">
        <v>2808</v>
      </c>
    </row>
    <row r="257" spans="1:15" x14ac:dyDescent="0.25">
      <c r="A257" t="s">
        <v>1048</v>
      </c>
      <c r="B257" t="s">
        <v>318</v>
      </c>
      <c r="C257" t="s">
        <v>29</v>
      </c>
      <c r="D257" t="s">
        <v>319</v>
      </c>
      <c r="E257" t="s">
        <v>320</v>
      </c>
      <c r="F257" t="s">
        <v>1049</v>
      </c>
      <c r="G257" s="4">
        <f t="shared" si="6"/>
        <v>541</v>
      </c>
      <c r="H257" t="s">
        <v>1050</v>
      </c>
      <c r="I257" t="str">
        <f>VLOOKUP(C257,Customers!A:B,2,FALSE)</f>
        <v>2023:11:30</v>
      </c>
      <c r="J257">
        <f>IFERROR(VLOOKUP($A257,Sheet3!$A:$E,2,FALSE),"")</f>
        <v>14</v>
      </c>
      <c r="K257" t="str">
        <f>IFERROR(VLOOKUP($A257,Sheet3!$A:$E,3,FALSE),"")</f>
        <v>3</v>
      </c>
      <c r="L257" t="str">
        <f>IFERROR(VLOOKUP($A257,Sheet3!$A:$E,4,FALSE),"")</f>
        <v>2025-02-07T07:31:37.000Z</v>
      </c>
      <c r="M257" t="str">
        <f>IFERROR(VLOOKUP($A257,Sheet3!$A:$E,5,FALSE),"")</f>
        <v>2025-12-16T04:00:12.000Z</v>
      </c>
      <c r="N257" s="4">
        <f t="shared" si="7"/>
        <v>435</v>
      </c>
      <c r="O257" t="s">
        <v>2809</v>
      </c>
    </row>
    <row r="258" spans="1:15" x14ac:dyDescent="0.25">
      <c r="A258" t="s">
        <v>1051</v>
      </c>
      <c r="B258" t="s">
        <v>318</v>
      </c>
      <c r="C258" t="s">
        <v>29</v>
      </c>
      <c r="D258" t="s">
        <v>319</v>
      </c>
      <c r="E258" t="s">
        <v>320</v>
      </c>
      <c r="F258" t="s">
        <v>1052</v>
      </c>
      <c r="G258" s="4">
        <f t="shared" ref="G258:G321" si="8">IF(OR(F258="NULL",F258=""),"",(HOUR(F258)*60)+MINUTE(F258)+(SECOND(F258)/60))</f>
        <v>517.0333333333333</v>
      </c>
      <c r="H258" t="s">
        <v>1053</v>
      </c>
      <c r="I258" t="str">
        <f>VLOOKUP(C258,Customers!A:B,2,FALSE)</f>
        <v>2023:11:30</v>
      </c>
      <c r="J258">
        <f>IFERROR(VLOOKUP($A258,Sheet3!$A:$E,2,FALSE),"")</f>
        <v>18</v>
      </c>
      <c r="K258" t="str">
        <f>IFERROR(VLOOKUP($A258,Sheet3!$A:$E,3,FALSE),"")</f>
        <v>0</v>
      </c>
      <c r="L258" t="str">
        <f>IFERROR(VLOOKUP($A258,Sheet3!$A:$E,4,FALSE),"")</f>
        <v>2024-07-16T07:01:26.000Z</v>
      </c>
      <c r="M258" t="str">
        <f>IFERROR(VLOOKUP($A258,Sheet3!$A:$E,5,FALSE),"")</f>
        <v>2026-01-20T04:20:22.000Z</v>
      </c>
      <c r="N258" s="4">
        <f t="shared" si="7"/>
        <v>229</v>
      </c>
      <c r="O258" t="s">
        <v>2808</v>
      </c>
    </row>
    <row r="259" spans="1:15" x14ac:dyDescent="0.25">
      <c r="A259" t="s">
        <v>1054</v>
      </c>
      <c r="B259" t="s">
        <v>318</v>
      </c>
      <c r="C259" t="s">
        <v>29</v>
      </c>
      <c r="D259" t="s">
        <v>319</v>
      </c>
      <c r="E259" t="s">
        <v>320</v>
      </c>
      <c r="F259" t="s">
        <v>1055</v>
      </c>
      <c r="G259" s="4">
        <f t="shared" si="8"/>
        <v>1097.4833333333333</v>
      </c>
      <c r="H259" t="s">
        <v>1056</v>
      </c>
      <c r="I259" t="str">
        <f>VLOOKUP(C259,Customers!A:B,2,FALSE)</f>
        <v>2023:11:30</v>
      </c>
      <c r="J259">
        <f>IFERROR(VLOOKUP($A259,Sheet3!$A:$E,2,FALSE),"")</f>
        <v>60</v>
      </c>
      <c r="K259" t="str">
        <f>IFERROR(VLOOKUP($A259,Sheet3!$A:$E,3,FALSE),"")</f>
        <v>11</v>
      </c>
      <c r="L259" t="str">
        <f>IFERROR(VLOOKUP($A259,Sheet3!$A:$E,4,FALSE),"")</f>
        <v>2024-09-01T13:34:08.000Z</v>
      </c>
      <c r="M259" t="str">
        <f>IFERROR(VLOOKUP($A259,Sheet3!$A:$E,5,FALSE),"")</f>
        <v>2026-02-07T04:39:58.000Z</v>
      </c>
      <c r="N259" s="4">
        <f t="shared" ref="N259:N322" si="9">IFERROR(LEFT(L259,10)-(LEFT(I259,4)&amp;"-"&amp;MID(I259,6,2)&amp;"-"&amp;RIGHT(I259,2)),"")</f>
        <v>276</v>
      </c>
      <c r="O259" t="s">
        <v>2809</v>
      </c>
    </row>
    <row r="260" spans="1:15" x14ac:dyDescent="0.25">
      <c r="A260" t="s">
        <v>1057</v>
      </c>
      <c r="B260" t="s">
        <v>318</v>
      </c>
      <c r="C260" t="s">
        <v>29</v>
      </c>
      <c r="D260" t="s">
        <v>319</v>
      </c>
      <c r="E260" t="s">
        <v>320</v>
      </c>
      <c r="F260" t="s">
        <v>1058</v>
      </c>
      <c r="G260" s="4">
        <f t="shared" si="8"/>
        <v>501.83333333333331</v>
      </c>
      <c r="H260" t="s">
        <v>1059</v>
      </c>
      <c r="I260" t="str">
        <f>VLOOKUP(C260,Customers!A:B,2,FALSE)</f>
        <v>2023:11:30</v>
      </c>
      <c r="J260">
        <f>IFERROR(VLOOKUP($A260,Sheet3!$A:$E,2,FALSE),"")</f>
        <v>31</v>
      </c>
      <c r="K260" t="str">
        <f>IFERROR(VLOOKUP($A260,Sheet3!$A:$E,3,FALSE),"")</f>
        <v>16</v>
      </c>
      <c r="L260" t="str">
        <f>IFERROR(VLOOKUP($A260,Sheet3!$A:$E,4,FALSE),"")</f>
        <v>2024-09-17T14:42:52.000Z</v>
      </c>
      <c r="M260" t="str">
        <f>IFERROR(VLOOKUP($A260,Sheet3!$A:$E,5,FALSE),"")</f>
        <v>2026-04-24T05:51:19.000Z</v>
      </c>
      <c r="N260" s="4">
        <f t="shared" si="9"/>
        <v>292</v>
      </c>
      <c r="O260" t="s">
        <v>2808</v>
      </c>
    </row>
    <row r="261" spans="1:15" x14ac:dyDescent="0.25">
      <c r="A261" t="s">
        <v>1060</v>
      </c>
      <c r="B261" t="s">
        <v>318</v>
      </c>
      <c r="C261" t="s">
        <v>29</v>
      </c>
      <c r="D261" t="s">
        <v>319</v>
      </c>
      <c r="E261" t="s">
        <v>320</v>
      </c>
      <c r="F261" t="s">
        <v>1061</v>
      </c>
      <c r="G261" s="4">
        <f t="shared" si="8"/>
        <v>144.18333333333334</v>
      </c>
      <c r="H261" t="s">
        <v>1062</v>
      </c>
      <c r="I261" t="str">
        <f>VLOOKUP(C261,Customers!A:B,2,FALSE)</f>
        <v>2023:11:30</v>
      </c>
      <c r="J261">
        <f>IFERROR(VLOOKUP($A261,Sheet3!$A:$E,2,FALSE),"")</f>
        <v>9</v>
      </c>
      <c r="K261" t="str">
        <f>IFERROR(VLOOKUP($A261,Sheet3!$A:$E,3,FALSE),"")</f>
        <v>0</v>
      </c>
      <c r="L261" t="str">
        <f>IFERROR(VLOOKUP($A261,Sheet3!$A:$E,4,FALSE),"")</f>
        <v>2024-09-15T11:47:58.000Z</v>
      </c>
      <c r="M261" t="str">
        <f>IFERROR(VLOOKUP($A261,Sheet3!$A:$E,5,FALSE),"")</f>
        <v>2025-01-20T09:15:06.000Z</v>
      </c>
      <c r="N261" s="4">
        <f t="shared" si="9"/>
        <v>290</v>
      </c>
      <c r="O261" t="s">
        <v>2809</v>
      </c>
    </row>
    <row r="262" spans="1:15" x14ac:dyDescent="0.25">
      <c r="A262" t="s">
        <v>1063</v>
      </c>
      <c r="B262" t="s">
        <v>318</v>
      </c>
      <c r="C262" t="s">
        <v>29</v>
      </c>
      <c r="D262" t="s">
        <v>319</v>
      </c>
      <c r="E262" t="s">
        <v>320</v>
      </c>
      <c r="F262" t="s">
        <v>1064</v>
      </c>
      <c r="G262" s="4">
        <f t="shared" si="8"/>
        <v>882.1</v>
      </c>
      <c r="H262" t="s">
        <v>1065</v>
      </c>
      <c r="I262" t="str">
        <f>VLOOKUP(C262,Customers!A:B,2,FALSE)</f>
        <v>2023:11:30</v>
      </c>
      <c r="J262">
        <f>IFERROR(VLOOKUP($A262,Sheet3!$A:$E,2,FALSE),"")</f>
        <v>10</v>
      </c>
      <c r="K262" t="str">
        <f>IFERROR(VLOOKUP($A262,Sheet3!$A:$E,3,FALSE),"")</f>
        <v>8</v>
      </c>
      <c r="L262" t="str">
        <f>IFERROR(VLOOKUP($A262,Sheet3!$A:$E,4,FALSE),"")</f>
        <v>2025-01-26T11:48:28.000Z</v>
      </c>
      <c r="M262" t="str">
        <f>IFERROR(VLOOKUP($A262,Sheet3!$A:$E,5,FALSE),"")</f>
        <v>2025-06-27T07:07:00.000Z</v>
      </c>
      <c r="N262" s="4">
        <f t="shared" si="9"/>
        <v>423</v>
      </c>
      <c r="O262" t="s">
        <v>2808</v>
      </c>
    </row>
    <row r="263" spans="1:15" x14ac:dyDescent="0.25">
      <c r="A263" t="s">
        <v>1066</v>
      </c>
      <c r="B263" t="s">
        <v>318</v>
      </c>
      <c r="C263" t="s">
        <v>29</v>
      </c>
      <c r="D263" t="s">
        <v>319</v>
      </c>
      <c r="E263" t="s">
        <v>320</v>
      </c>
      <c r="F263" t="s">
        <v>1067</v>
      </c>
      <c r="G263" s="4">
        <f t="shared" si="8"/>
        <v>1439.25</v>
      </c>
      <c r="H263" t="s">
        <v>1068</v>
      </c>
      <c r="I263" t="str">
        <f>VLOOKUP(C263,Customers!A:B,2,FALSE)</f>
        <v>2023:11:30</v>
      </c>
      <c r="J263">
        <f>IFERROR(VLOOKUP($A263,Sheet3!$A:$E,2,FALSE),"")</f>
        <v>22</v>
      </c>
      <c r="K263" t="str">
        <f>IFERROR(VLOOKUP($A263,Sheet3!$A:$E,3,FALSE),"")</f>
        <v>4</v>
      </c>
      <c r="L263" t="str">
        <f>IFERROR(VLOOKUP($A263,Sheet3!$A:$E,4,FALSE),"")</f>
        <v>2024-08-19T04:30:52.000Z</v>
      </c>
      <c r="M263" t="str">
        <f>IFERROR(VLOOKUP($A263,Sheet3!$A:$E,5,FALSE),"")</f>
        <v>2025-12-29T10:11:49.000Z</v>
      </c>
      <c r="N263" s="4">
        <f t="shared" si="9"/>
        <v>263</v>
      </c>
      <c r="O263" t="s">
        <v>2809</v>
      </c>
    </row>
    <row r="264" spans="1:15" x14ac:dyDescent="0.25">
      <c r="A264" t="s">
        <v>1069</v>
      </c>
      <c r="B264" t="s">
        <v>318</v>
      </c>
      <c r="C264" t="s">
        <v>29</v>
      </c>
      <c r="D264" t="s">
        <v>319</v>
      </c>
      <c r="E264" t="s">
        <v>320</v>
      </c>
      <c r="F264" t="s">
        <v>1070</v>
      </c>
      <c r="G264" s="4">
        <f t="shared" si="8"/>
        <v>109.78333333333333</v>
      </c>
      <c r="H264" t="s">
        <v>1071</v>
      </c>
      <c r="I264" t="str">
        <f>VLOOKUP(C264,Customers!A:B,2,FALSE)</f>
        <v>2023:11:30</v>
      </c>
      <c r="J264">
        <f>IFERROR(VLOOKUP($A264,Sheet3!$A:$E,2,FALSE),"")</f>
        <v>33</v>
      </c>
      <c r="K264" t="str">
        <f>IFERROR(VLOOKUP($A264,Sheet3!$A:$E,3,FALSE),"")</f>
        <v>9</v>
      </c>
      <c r="L264" t="str">
        <f>IFERROR(VLOOKUP($A264,Sheet3!$A:$E,4,FALSE),"")</f>
        <v>2024-08-16T11:55:01.000Z</v>
      </c>
      <c r="M264" t="str">
        <f>IFERROR(VLOOKUP($A264,Sheet3!$A:$E,5,FALSE),"")</f>
        <v>2026-03-10T14:02:11.000Z</v>
      </c>
      <c r="N264" s="4">
        <f t="shared" si="9"/>
        <v>260</v>
      </c>
      <c r="O264" t="s">
        <v>2808</v>
      </c>
    </row>
    <row r="265" spans="1:15" x14ac:dyDescent="0.25">
      <c r="A265" t="s">
        <v>1072</v>
      </c>
      <c r="B265" t="s">
        <v>318</v>
      </c>
      <c r="C265" t="s">
        <v>29</v>
      </c>
      <c r="D265" t="s">
        <v>319</v>
      </c>
      <c r="E265" t="s">
        <v>320</v>
      </c>
      <c r="F265" t="s">
        <v>1073</v>
      </c>
      <c r="G265" s="4">
        <f t="shared" si="8"/>
        <v>155.69999999999999</v>
      </c>
      <c r="H265" t="s">
        <v>1074</v>
      </c>
      <c r="I265" t="str">
        <f>VLOOKUP(C265,Customers!A:B,2,FALSE)</f>
        <v>2023:11:30</v>
      </c>
      <c r="J265">
        <f>IFERROR(VLOOKUP($A265,Sheet3!$A:$E,2,FALSE),"")</f>
        <v>8</v>
      </c>
      <c r="K265" t="str">
        <f>IFERROR(VLOOKUP($A265,Sheet3!$A:$E,3,FALSE),"")</f>
        <v>0</v>
      </c>
      <c r="L265" t="str">
        <f>IFERROR(VLOOKUP($A265,Sheet3!$A:$E,4,FALSE),"")</f>
        <v>2024-08-21T06:30:33.000Z</v>
      </c>
      <c r="M265" t="str">
        <f>IFERROR(VLOOKUP($A265,Sheet3!$A:$E,5,FALSE),"")</f>
        <v>2025-07-05T05:43:05.000Z</v>
      </c>
      <c r="N265" s="4">
        <f t="shared" si="9"/>
        <v>265</v>
      </c>
      <c r="O265" t="s">
        <v>2809</v>
      </c>
    </row>
    <row r="266" spans="1:15" x14ac:dyDescent="0.25">
      <c r="A266" t="s">
        <v>1075</v>
      </c>
      <c r="B266" t="s">
        <v>318</v>
      </c>
      <c r="C266" t="s">
        <v>29</v>
      </c>
      <c r="D266" t="s">
        <v>319</v>
      </c>
      <c r="E266" t="s">
        <v>320</v>
      </c>
      <c r="F266" t="s">
        <v>1076</v>
      </c>
      <c r="G266" s="4">
        <f t="shared" si="8"/>
        <v>779.16666666666663</v>
      </c>
      <c r="H266" t="s">
        <v>1077</v>
      </c>
      <c r="I266" t="str">
        <f>VLOOKUP(C266,Customers!A:B,2,FALSE)</f>
        <v>2023:11:30</v>
      </c>
      <c r="J266">
        <f>IFERROR(VLOOKUP($A266,Sheet3!$A:$E,2,FALSE),"")</f>
        <v>13</v>
      </c>
      <c r="K266" t="str">
        <f>IFERROR(VLOOKUP($A266,Sheet3!$A:$E,3,FALSE),"")</f>
        <v>0</v>
      </c>
      <c r="L266" t="str">
        <f>IFERROR(VLOOKUP($A266,Sheet3!$A:$E,4,FALSE),"")</f>
        <v>2024-08-22T09:27:25.000Z</v>
      </c>
      <c r="M266" t="str">
        <f>IFERROR(VLOOKUP($A266,Sheet3!$A:$E,5,FALSE),"")</f>
        <v>2025-12-24T07:11:12.000Z</v>
      </c>
      <c r="N266" s="4">
        <f t="shared" si="9"/>
        <v>266</v>
      </c>
      <c r="O266" t="s">
        <v>2808</v>
      </c>
    </row>
    <row r="267" spans="1:15" x14ac:dyDescent="0.25">
      <c r="A267" t="s">
        <v>1078</v>
      </c>
      <c r="B267" t="s">
        <v>318</v>
      </c>
      <c r="C267" t="s">
        <v>29</v>
      </c>
      <c r="D267" t="s">
        <v>319</v>
      </c>
      <c r="E267" t="s">
        <v>320</v>
      </c>
      <c r="F267" t="s">
        <v>316</v>
      </c>
      <c r="G267" s="4" t="str">
        <f t="shared" si="8"/>
        <v/>
      </c>
      <c r="H267" t="s">
        <v>198</v>
      </c>
      <c r="I267" t="str">
        <f>VLOOKUP(C267,Customers!A:B,2,FALSE)</f>
        <v>2023:11:30</v>
      </c>
      <c r="J267" t="str">
        <f>IFERROR(VLOOKUP($A267,Sheet3!$A:$E,2,FALSE),"")</f>
        <v/>
      </c>
      <c r="K267" t="str">
        <f>IFERROR(VLOOKUP($A267,Sheet3!$A:$E,3,FALSE),"")</f>
        <v/>
      </c>
      <c r="L267" t="str">
        <f>IFERROR(VLOOKUP($A267,Sheet3!$A:$E,4,FALSE),"")</f>
        <v/>
      </c>
      <c r="M267" t="str">
        <f>IFERROR(VLOOKUP($A267,Sheet3!$A:$E,5,FALSE),"")</f>
        <v/>
      </c>
      <c r="N267" s="4" t="str">
        <f t="shared" si="9"/>
        <v/>
      </c>
      <c r="O267" t="s">
        <v>2809</v>
      </c>
    </row>
    <row r="268" spans="1:15" x14ac:dyDescent="0.25">
      <c r="A268" t="s">
        <v>1079</v>
      </c>
      <c r="B268" t="s">
        <v>318</v>
      </c>
      <c r="C268" t="s">
        <v>29</v>
      </c>
      <c r="D268" t="s">
        <v>319</v>
      </c>
      <c r="E268" t="s">
        <v>320</v>
      </c>
      <c r="F268" t="s">
        <v>1080</v>
      </c>
      <c r="G268" s="4">
        <f t="shared" si="8"/>
        <v>1088.7833333333333</v>
      </c>
      <c r="H268" t="s">
        <v>1081</v>
      </c>
      <c r="I268" t="str">
        <f>VLOOKUP(C268,Customers!A:B,2,FALSE)</f>
        <v>2023:11:30</v>
      </c>
      <c r="J268">
        <f>IFERROR(VLOOKUP($A268,Sheet3!$A:$E,2,FALSE),"")</f>
        <v>12</v>
      </c>
      <c r="K268" t="str">
        <f>IFERROR(VLOOKUP($A268,Sheet3!$A:$E,3,FALSE),"")</f>
        <v>6</v>
      </c>
      <c r="L268" t="str">
        <f>IFERROR(VLOOKUP($A268,Sheet3!$A:$E,4,FALSE),"")</f>
        <v>2024-09-23T06:00:03.000Z</v>
      </c>
      <c r="M268" t="str">
        <f>IFERROR(VLOOKUP($A268,Sheet3!$A:$E,5,FALSE),"")</f>
        <v>2025-12-23T07:03:08.000Z</v>
      </c>
      <c r="N268" s="4">
        <f t="shared" si="9"/>
        <v>298</v>
      </c>
      <c r="O268" t="s">
        <v>2808</v>
      </c>
    </row>
    <row r="269" spans="1:15" x14ac:dyDescent="0.25">
      <c r="A269" t="s">
        <v>1082</v>
      </c>
      <c r="B269" t="s">
        <v>318</v>
      </c>
      <c r="C269" t="s">
        <v>29</v>
      </c>
      <c r="D269" t="s">
        <v>319</v>
      </c>
      <c r="E269" t="s">
        <v>320</v>
      </c>
      <c r="F269" t="s">
        <v>1083</v>
      </c>
      <c r="G269" s="4">
        <f t="shared" si="8"/>
        <v>137.65</v>
      </c>
      <c r="H269" t="s">
        <v>1084</v>
      </c>
      <c r="I269" t="str">
        <f>VLOOKUP(C269,Customers!A:B,2,FALSE)</f>
        <v>2023:11:30</v>
      </c>
      <c r="J269">
        <f>IFERROR(VLOOKUP($A269,Sheet3!$A:$E,2,FALSE),"")</f>
        <v>8</v>
      </c>
      <c r="K269" t="str">
        <f>IFERROR(VLOOKUP($A269,Sheet3!$A:$E,3,FALSE),"")</f>
        <v>4</v>
      </c>
      <c r="L269" t="str">
        <f>IFERROR(VLOOKUP($A269,Sheet3!$A:$E,4,FALSE),"")</f>
        <v>2024-09-07T04:16:40.000Z</v>
      </c>
      <c r="M269" t="str">
        <f>IFERROR(VLOOKUP($A269,Sheet3!$A:$E,5,FALSE),"")</f>
        <v>2026-03-08T07:37:22.000Z</v>
      </c>
      <c r="N269" s="4">
        <f t="shared" si="9"/>
        <v>282</v>
      </c>
      <c r="O269" t="s">
        <v>2809</v>
      </c>
    </row>
    <row r="270" spans="1:15" x14ac:dyDescent="0.25">
      <c r="A270" t="s">
        <v>1085</v>
      </c>
      <c r="B270" t="s">
        <v>318</v>
      </c>
      <c r="C270" t="s">
        <v>29</v>
      </c>
      <c r="D270" t="s">
        <v>319</v>
      </c>
      <c r="E270" t="s">
        <v>320</v>
      </c>
      <c r="F270" t="s">
        <v>1086</v>
      </c>
      <c r="G270" s="4">
        <f t="shared" si="8"/>
        <v>102.23333333333333</v>
      </c>
      <c r="H270" t="s">
        <v>1087</v>
      </c>
      <c r="I270" t="str">
        <f>VLOOKUP(C270,Customers!A:B,2,FALSE)</f>
        <v>2023:11:30</v>
      </c>
      <c r="J270">
        <f>IFERROR(VLOOKUP($A270,Sheet3!$A:$E,2,FALSE),"")</f>
        <v>11</v>
      </c>
      <c r="K270" t="str">
        <f>IFERROR(VLOOKUP($A270,Sheet3!$A:$E,3,FALSE),"")</f>
        <v>0</v>
      </c>
      <c r="L270" t="str">
        <f>IFERROR(VLOOKUP($A270,Sheet3!$A:$E,4,FALSE),"")</f>
        <v>2024-10-13T06:57:12.000Z</v>
      </c>
      <c r="M270" t="str">
        <f>IFERROR(VLOOKUP($A270,Sheet3!$A:$E,5,FALSE),"")</f>
        <v>2026-01-31T09:48:50.000Z</v>
      </c>
      <c r="N270" s="4">
        <f t="shared" si="9"/>
        <v>318</v>
      </c>
      <c r="O270" t="s">
        <v>2808</v>
      </c>
    </row>
    <row r="271" spans="1:15" x14ac:dyDescent="0.25">
      <c r="A271" t="s">
        <v>1088</v>
      </c>
      <c r="B271" t="s">
        <v>318</v>
      </c>
      <c r="C271" t="s">
        <v>29</v>
      </c>
      <c r="D271" t="s">
        <v>319</v>
      </c>
      <c r="E271" t="s">
        <v>320</v>
      </c>
      <c r="F271" t="s">
        <v>1089</v>
      </c>
      <c r="G271" s="4">
        <f t="shared" si="8"/>
        <v>108.45</v>
      </c>
      <c r="H271" t="s">
        <v>1090</v>
      </c>
      <c r="I271" t="str">
        <f>VLOOKUP(C271,Customers!A:B,2,FALSE)</f>
        <v>2023:11:30</v>
      </c>
      <c r="J271">
        <f>IFERROR(VLOOKUP($A271,Sheet3!$A:$E,2,FALSE),"")</f>
        <v>6</v>
      </c>
      <c r="K271" t="str">
        <f>IFERROR(VLOOKUP($A271,Sheet3!$A:$E,3,FALSE),"")</f>
        <v>0</v>
      </c>
      <c r="L271" t="str">
        <f>IFERROR(VLOOKUP($A271,Sheet3!$A:$E,4,FALSE),"")</f>
        <v>2024-09-28T13:15:04.000Z</v>
      </c>
      <c r="M271" t="str">
        <f>IFERROR(VLOOKUP($A271,Sheet3!$A:$E,5,FALSE),"")</f>
        <v>2025-06-18T10:01:59.000Z</v>
      </c>
      <c r="N271" s="4">
        <f t="shared" si="9"/>
        <v>303</v>
      </c>
      <c r="O271" t="s">
        <v>2809</v>
      </c>
    </row>
    <row r="272" spans="1:15" x14ac:dyDescent="0.25">
      <c r="A272" t="s">
        <v>1091</v>
      </c>
      <c r="B272" t="s">
        <v>318</v>
      </c>
      <c r="C272" t="s">
        <v>29</v>
      </c>
      <c r="D272" t="s">
        <v>319</v>
      </c>
      <c r="E272" t="s">
        <v>320</v>
      </c>
      <c r="F272" t="s">
        <v>1092</v>
      </c>
      <c r="G272" s="4">
        <f t="shared" si="8"/>
        <v>126.03333333333333</v>
      </c>
      <c r="H272" t="s">
        <v>1093</v>
      </c>
      <c r="I272" t="str">
        <f>VLOOKUP(C272,Customers!A:B,2,FALSE)</f>
        <v>2023:11:30</v>
      </c>
      <c r="J272">
        <f>IFERROR(VLOOKUP($A272,Sheet3!$A:$E,2,FALSE),"")</f>
        <v>34</v>
      </c>
      <c r="K272" t="str">
        <f>IFERROR(VLOOKUP($A272,Sheet3!$A:$E,3,FALSE),"")</f>
        <v>12</v>
      </c>
      <c r="L272" t="str">
        <f>IFERROR(VLOOKUP($A272,Sheet3!$A:$E,4,FALSE),"")</f>
        <v>2024-09-28T13:20:23.000Z</v>
      </c>
      <c r="M272" t="str">
        <f>IFERROR(VLOOKUP($A272,Sheet3!$A:$E,5,FALSE),"")</f>
        <v>2026-01-27T07:58:15.000Z</v>
      </c>
      <c r="N272" s="4">
        <f t="shared" si="9"/>
        <v>303</v>
      </c>
      <c r="O272" t="s">
        <v>2808</v>
      </c>
    </row>
    <row r="273" spans="1:15" x14ac:dyDescent="0.25">
      <c r="A273" t="s">
        <v>1094</v>
      </c>
      <c r="B273" t="s">
        <v>318</v>
      </c>
      <c r="C273" t="s">
        <v>29</v>
      </c>
      <c r="D273" t="s">
        <v>319</v>
      </c>
      <c r="E273" t="s">
        <v>320</v>
      </c>
      <c r="F273" t="s">
        <v>1095</v>
      </c>
      <c r="G273" s="4">
        <f t="shared" si="8"/>
        <v>1081.25</v>
      </c>
      <c r="H273" t="s">
        <v>1096</v>
      </c>
      <c r="I273" t="str">
        <f>VLOOKUP(C273,Customers!A:B,2,FALSE)</f>
        <v>2023:11:30</v>
      </c>
      <c r="J273">
        <f>IFERROR(VLOOKUP($A273,Sheet3!$A:$E,2,FALSE),"")</f>
        <v>12</v>
      </c>
      <c r="K273" t="str">
        <f>IFERROR(VLOOKUP($A273,Sheet3!$A:$E,3,FALSE),"")</f>
        <v>4</v>
      </c>
      <c r="L273" t="str">
        <f>IFERROR(VLOOKUP($A273,Sheet3!$A:$E,4,FALSE),"")</f>
        <v>2024-09-10T11:26:25.000Z</v>
      </c>
      <c r="M273" t="str">
        <f>IFERROR(VLOOKUP($A273,Sheet3!$A:$E,5,FALSE),"")</f>
        <v>2025-04-08T03:16:16.000Z</v>
      </c>
      <c r="N273" s="4">
        <f t="shared" si="9"/>
        <v>285</v>
      </c>
      <c r="O273" t="s">
        <v>2809</v>
      </c>
    </row>
    <row r="274" spans="1:15" x14ac:dyDescent="0.25">
      <c r="A274" t="s">
        <v>1097</v>
      </c>
      <c r="B274" t="s">
        <v>318</v>
      </c>
      <c r="C274" t="s">
        <v>29</v>
      </c>
      <c r="D274" t="s">
        <v>319</v>
      </c>
      <c r="E274" t="s">
        <v>320</v>
      </c>
      <c r="F274" t="s">
        <v>1098</v>
      </c>
      <c r="G274" s="4">
        <f t="shared" si="8"/>
        <v>325.21666666666664</v>
      </c>
      <c r="H274" t="s">
        <v>1099</v>
      </c>
      <c r="I274" t="str">
        <f>VLOOKUP(C274,Customers!A:B,2,FALSE)</f>
        <v>2023:11:30</v>
      </c>
      <c r="J274">
        <f>IFERROR(VLOOKUP($A274,Sheet3!$A:$E,2,FALSE),"")</f>
        <v>1</v>
      </c>
      <c r="K274" t="str">
        <f>IFERROR(VLOOKUP($A274,Sheet3!$A:$E,3,FALSE),"")</f>
        <v>0</v>
      </c>
      <c r="L274" t="str">
        <f>IFERROR(VLOOKUP($A274,Sheet3!$A:$E,4,FALSE),"")</f>
        <v>2024-09-16T04:56:56.000Z</v>
      </c>
      <c r="M274" t="str">
        <f>IFERROR(VLOOKUP($A274,Sheet3!$A:$E,5,FALSE),"")</f>
        <v>2024-09-16T04:56:56.000Z</v>
      </c>
      <c r="N274" s="4">
        <f t="shared" si="9"/>
        <v>291</v>
      </c>
      <c r="O274" t="s">
        <v>2808</v>
      </c>
    </row>
    <row r="275" spans="1:15" x14ac:dyDescent="0.25">
      <c r="A275" t="s">
        <v>1100</v>
      </c>
      <c r="B275" t="s">
        <v>318</v>
      </c>
      <c r="C275" t="s">
        <v>29</v>
      </c>
      <c r="D275" t="s">
        <v>319</v>
      </c>
      <c r="E275" t="s">
        <v>320</v>
      </c>
      <c r="F275" t="s">
        <v>1101</v>
      </c>
      <c r="G275" s="4">
        <f t="shared" si="8"/>
        <v>461.53333333333336</v>
      </c>
      <c r="H275" t="s">
        <v>1102</v>
      </c>
      <c r="I275" t="str">
        <f>VLOOKUP(C275,Customers!A:B,2,FALSE)</f>
        <v>2023:11:30</v>
      </c>
      <c r="J275">
        <f>IFERROR(VLOOKUP($A275,Sheet3!$A:$E,2,FALSE),"")</f>
        <v>7</v>
      </c>
      <c r="K275" t="str">
        <f>IFERROR(VLOOKUP($A275,Sheet3!$A:$E,3,FALSE),"")</f>
        <v>2</v>
      </c>
      <c r="L275" t="str">
        <f>IFERROR(VLOOKUP($A275,Sheet3!$A:$E,4,FALSE),"")</f>
        <v>2024-09-10T04:57:27.000Z</v>
      </c>
      <c r="M275" t="str">
        <f>IFERROR(VLOOKUP($A275,Sheet3!$A:$E,5,FALSE),"")</f>
        <v>2024-12-21T06:10:32.000Z</v>
      </c>
      <c r="N275" s="4">
        <f t="shared" si="9"/>
        <v>285</v>
      </c>
      <c r="O275" t="s">
        <v>2809</v>
      </c>
    </row>
    <row r="276" spans="1:15" x14ac:dyDescent="0.25">
      <c r="A276" t="s">
        <v>1103</v>
      </c>
      <c r="B276" t="s">
        <v>318</v>
      </c>
      <c r="C276" t="s">
        <v>29</v>
      </c>
      <c r="D276" t="s">
        <v>319</v>
      </c>
      <c r="E276" t="s">
        <v>320</v>
      </c>
      <c r="F276" t="s">
        <v>1104</v>
      </c>
      <c r="G276" s="4">
        <f t="shared" si="8"/>
        <v>155.75</v>
      </c>
      <c r="H276" t="s">
        <v>1105</v>
      </c>
      <c r="I276" t="str">
        <f>VLOOKUP(C276,Customers!A:B,2,FALSE)</f>
        <v>2023:11:30</v>
      </c>
      <c r="J276">
        <f>IFERROR(VLOOKUP($A276,Sheet3!$A:$E,2,FALSE),"")</f>
        <v>10</v>
      </c>
      <c r="K276" t="str">
        <f>IFERROR(VLOOKUP($A276,Sheet3!$A:$E,3,FALSE),"")</f>
        <v>1</v>
      </c>
      <c r="L276" t="str">
        <f>IFERROR(VLOOKUP($A276,Sheet3!$A:$E,4,FALSE),"")</f>
        <v>2024-08-12T08:28:47.000Z</v>
      </c>
      <c r="M276" t="str">
        <f>IFERROR(VLOOKUP($A276,Sheet3!$A:$E,5,FALSE),"")</f>
        <v>2026-02-07T07:45:50.000Z</v>
      </c>
      <c r="N276" s="4">
        <f t="shared" si="9"/>
        <v>256</v>
      </c>
      <c r="O276" t="s">
        <v>2808</v>
      </c>
    </row>
    <row r="277" spans="1:15" x14ac:dyDescent="0.25">
      <c r="A277" t="s">
        <v>1106</v>
      </c>
      <c r="B277" t="s">
        <v>318</v>
      </c>
      <c r="C277" t="s">
        <v>29</v>
      </c>
      <c r="D277" t="s">
        <v>319</v>
      </c>
      <c r="E277" t="s">
        <v>320</v>
      </c>
      <c r="F277" t="s">
        <v>1107</v>
      </c>
      <c r="G277" s="4">
        <f t="shared" si="8"/>
        <v>65.833333333333329</v>
      </c>
      <c r="H277" t="s">
        <v>1108</v>
      </c>
      <c r="I277" t="str">
        <f>VLOOKUP(C277,Customers!A:B,2,FALSE)</f>
        <v>2023:11:30</v>
      </c>
      <c r="J277">
        <f>IFERROR(VLOOKUP($A277,Sheet3!$A:$E,2,FALSE),"")</f>
        <v>2</v>
      </c>
      <c r="K277" t="str">
        <f>IFERROR(VLOOKUP($A277,Sheet3!$A:$E,3,FALSE),"")</f>
        <v>0</v>
      </c>
      <c r="L277" t="str">
        <f>IFERROR(VLOOKUP($A277,Sheet3!$A:$E,4,FALSE),"")</f>
        <v>2024-10-03T06:53:51.000Z</v>
      </c>
      <c r="M277" t="str">
        <f>IFERROR(VLOOKUP($A277,Sheet3!$A:$E,5,FALSE),"")</f>
        <v>2024-10-05T17:13:32.000Z</v>
      </c>
      <c r="N277" s="4">
        <f t="shared" si="9"/>
        <v>308</v>
      </c>
      <c r="O277" t="s">
        <v>2809</v>
      </c>
    </row>
    <row r="278" spans="1:15" x14ac:dyDescent="0.25">
      <c r="A278" t="s">
        <v>1109</v>
      </c>
      <c r="B278" t="s">
        <v>318</v>
      </c>
      <c r="C278" t="s">
        <v>29</v>
      </c>
      <c r="D278" t="s">
        <v>319</v>
      </c>
      <c r="E278" t="s">
        <v>320</v>
      </c>
      <c r="F278" t="s">
        <v>1110</v>
      </c>
      <c r="G278" s="4">
        <f t="shared" si="8"/>
        <v>308.41666666666669</v>
      </c>
      <c r="H278" t="s">
        <v>1111</v>
      </c>
      <c r="I278" t="str">
        <f>VLOOKUP(C278,Customers!A:B,2,FALSE)</f>
        <v>2023:11:30</v>
      </c>
      <c r="J278">
        <f>IFERROR(VLOOKUP($A278,Sheet3!$A:$E,2,FALSE),"")</f>
        <v>2</v>
      </c>
      <c r="K278" t="str">
        <f>IFERROR(VLOOKUP($A278,Sheet3!$A:$E,3,FALSE),"")</f>
        <v>0</v>
      </c>
      <c r="L278" t="str">
        <f>IFERROR(VLOOKUP($A278,Sheet3!$A:$E,4,FALSE),"")</f>
        <v>2024-08-26T11:57:57.000Z</v>
      </c>
      <c r="M278" t="str">
        <f>IFERROR(VLOOKUP($A278,Sheet3!$A:$E,5,FALSE),"")</f>
        <v>2025-06-10T10:28:23.000Z</v>
      </c>
      <c r="N278" s="4">
        <f t="shared" si="9"/>
        <v>270</v>
      </c>
      <c r="O278" t="s">
        <v>2808</v>
      </c>
    </row>
    <row r="279" spans="1:15" x14ac:dyDescent="0.25">
      <c r="A279" t="s">
        <v>1112</v>
      </c>
      <c r="B279" t="s">
        <v>318</v>
      </c>
      <c r="C279" t="s">
        <v>29</v>
      </c>
      <c r="D279" t="s">
        <v>319</v>
      </c>
      <c r="E279" t="s">
        <v>320</v>
      </c>
      <c r="F279" t="s">
        <v>1113</v>
      </c>
      <c r="G279" s="4">
        <f t="shared" si="8"/>
        <v>226.45</v>
      </c>
      <c r="H279" t="s">
        <v>1114</v>
      </c>
      <c r="I279" t="str">
        <f>VLOOKUP(C279,Customers!A:B,2,FALSE)</f>
        <v>2023:11:30</v>
      </c>
      <c r="J279">
        <f>IFERROR(VLOOKUP($A279,Sheet3!$A:$E,2,FALSE),"")</f>
        <v>21</v>
      </c>
      <c r="K279" t="str">
        <f>IFERROR(VLOOKUP($A279,Sheet3!$A:$E,3,FALSE),"")</f>
        <v>10</v>
      </c>
      <c r="L279" t="str">
        <f>IFERROR(VLOOKUP($A279,Sheet3!$A:$E,4,FALSE),"")</f>
        <v>2024-08-21T06:17:37.000Z</v>
      </c>
      <c r="M279" t="str">
        <f>IFERROR(VLOOKUP($A279,Sheet3!$A:$E,5,FALSE),"")</f>
        <v>2025-09-19T06:00:37.000Z</v>
      </c>
      <c r="N279" s="4">
        <f t="shared" si="9"/>
        <v>265</v>
      </c>
      <c r="O279" t="s">
        <v>2809</v>
      </c>
    </row>
    <row r="280" spans="1:15" x14ac:dyDescent="0.25">
      <c r="A280" t="s">
        <v>1115</v>
      </c>
      <c r="B280" t="s">
        <v>318</v>
      </c>
      <c r="C280" t="s">
        <v>29</v>
      </c>
      <c r="D280" t="s">
        <v>319</v>
      </c>
      <c r="E280" t="s">
        <v>320</v>
      </c>
      <c r="F280" t="s">
        <v>1116</v>
      </c>
      <c r="G280" s="4">
        <f t="shared" si="8"/>
        <v>1164.3</v>
      </c>
      <c r="H280" t="s">
        <v>961</v>
      </c>
      <c r="I280" t="str">
        <f>VLOOKUP(C280,Customers!A:B,2,FALSE)</f>
        <v>2023:11:30</v>
      </c>
      <c r="J280">
        <f>IFERROR(VLOOKUP($A280,Sheet3!$A:$E,2,FALSE),"")</f>
        <v>19</v>
      </c>
      <c r="K280" t="str">
        <f>IFERROR(VLOOKUP($A280,Sheet3!$A:$E,3,FALSE),"")</f>
        <v>4</v>
      </c>
      <c r="L280" t="str">
        <f>IFERROR(VLOOKUP($A280,Sheet3!$A:$E,4,FALSE),"")</f>
        <v>2024-08-22T09:57:32.000Z</v>
      </c>
      <c r="M280" t="str">
        <f>IFERROR(VLOOKUP($A280,Sheet3!$A:$E,5,FALSE),"")</f>
        <v>2025-08-27T08:42:00.000Z</v>
      </c>
      <c r="N280" s="4">
        <f t="shared" si="9"/>
        <v>266</v>
      </c>
      <c r="O280" t="s">
        <v>2808</v>
      </c>
    </row>
    <row r="281" spans="1:15" x14ac:dyDescent="0.25">
      <c r="A281" t="s">
        <v>1117</v>
      </c>
      <c r="B281" t="s">
        <v>318</v>
      </c>
      <c r="C281" t="s">
        <v>29</v>
      </c>
      <c r="D281" t="s">
        <v>319</v>
      </c>
      <c r="E281" t="s">
        <v>320</v>
      </c>
      <c r="F281" t="s">
        <v>316</v>
      </c>
      <c r="G281" s="4" t="str">
        <f t="shared" si="8"/>
        <v/>
      </c>
      <c r="H281" t="s">
        <v>198</v>
      </c>
      <c r="I281" t="str">
        <f>VLOOKUP(C281,Customers!A:B,2,FALSE)</f>
        <v>2023:11:30</v>
      </c>
      <c r="J281" t="str">
        <f>IFERROR(VLOOKUP($A281,Sheet3!$A:$E,2,FALSE),"")</f>
        <v/>
      </c>
      <c r="K281" t="str">
        <f>IFERROR(VLOOKUP($A281,Sheet3!$A:$E,3,FALSE),"")</f>
        <v/>
      </c>
      <c r="L281" t="str">
        <f>IFERROR(VLOOKUP($A281,Sheet3!$A:$E,4,FALSE),"")</f>
        <v/>
      </c>
      <c r="M281" t="str">
        <f>IFERROR(VLOOKUP($A281,Sheet3!$A:$E,5,FALSE),"")</f>
        <v/>
      </c>
      <c r="N281" s="4" t="str">
        <f t="shared" si="9"/>
        <v/>
      </c>
      <c r="O281" t="s">
        <v>2809</v>
      </c>
    </row>
    <row r="282" spans="1:15" x14ac:dyDescent="0.25">
      <c r="A282" t="s">
        <v>1118</v>
      </c>
      <c r="B282" t="s">
        <v>318</v>
      </c>
      <c r="C282" t="s">
        <v>29</v>
      </c>
      <c r="D282" t="s">
        <v>319</v>
      </c>
      <c r="E282" t="s">
        <v>320</v>
      </c>
      <c r="F282" t="s">
        <v>1119</v>
      </c>
      <c r="G282" s="4">
        <f t="shared" si="8"/>
        <v>881.83333333333337</v>
      </c>
      <c r="H282" t="s">
        <v>1120</v>
      </c>
      <c r="I282" t="str">
        <f>VLOOKUP(C282,Customers!A:B,2,FALSE)</f>
        <v>2023:11:30</v>
      </c>
      <c r="J282">
        <f>IFERROR(VLOOKUP($A282,Sheet3!$A:$E,2,FALSE),"")</f>
        <v>23</v>
      </c>
      <c r="K282" t="str">
        <f>IFERROR(VLOOKUP($A282,Sheet3!$A:$E,3,FALSE),"")</f>
        <v>5</v>
      </c>
      <c r="L282" t="str">
        <f>IFERROR(VLOOKUP($A282,Sheet3!$A:$E,4,FALSE),"")</f>
        <v>2024-08-17T14:52:30.000Z</v>
      </c>
      <c r="M282" t="str">
        <f>IFERROR(VLOOKUP($A282,Sheet3!$A:$E,5,FALSE),"")</f>
        <v>2026-01-17T12:03:47.000Z</v>
      </c>
      <c r="N282" s="4">
        <f t="shared" si="9"/>
        <v>261</v>
      </c>
      <c r="O282" t="s">
        <v>2808</v>
      </c>
    </row>
    <row r="283" spans="1:15" x14ac:dyDescent="0.25">
      <c r="A283" t="s">
        <v>1121</v>
      </c>
      <c r="B283" t="s">
        <v>318</v>
      </c>
      <c r="C283" t="s">
        <v>29</v>
      </c>
      <c r="D283" t="s">
        <v>319</v>
      </c>
      <c r="E283" t="s">
        <v>320</v>
      </c>
      <c r="F283" t="s">
        <v>1122</v>
      </c>
      <c r="G283" s="4">
        <f t="shared" si="8"/>
        <v>602.88333333333333</v>
      </c>
      <c r="H283" t="s">
        <v>1123</v>
      </c>
      <c r="I283" t="str">
        <f>VLOOKUP(C283,Customers!A:B,2,FALSE)</f>
        <v>2023:11:30</v>
      </c>
      <c r="J283">
        <f>IFERROR(VLOOKUP($A283,Sheet3!$A:$E,2,FALSE),"")</f>
        <v>10</v>
      </c>
      <c r="K283" t="str">
        <f>IFERROR(VLOOKUP($A283,Sheet3!$A:$E,3,FALSE),"")</f>
        <v>4</v>
      </c>
      <c r="L283" t="str">
        <f>IFERROR(VLOOKUP($A283,Sheet3!$A:$E,4,FALSE),"")</f>
        <v>2024-08-12T08:30:30.000Z</v>
      </c>
      <c r="M283" t="str">
        <f>IFERROR(VLOOKUP($A283,Sheet3!$A:$E,5,FALSE),"")</f>
        <v>2026-01-28T02:13:24.000Z</v>
      </c>
      <c r="N283" s="4">
        <f t="shared" si="9"/>
        <v>256</v>
      </c>
      <c r="O283" t="s">
        <v>2809</v>
      </c>
    </row>
    <row r="284" spans="1:15" x14ac:dyDescent="0.25">
      <c r="A284" t="s">
        <v>1124</v>
      </c>
      <c r="B284" t="s">
        <v>318</v>
      </c>
      <c r="C284" t="s">
        <v>29</v>
      </c>
      <c r="D284" t="s">
        <v>319</v>
      </c>
      <c r="E284" t="s">
        <v>320</v>
      </c>
      <c r="F284" t="s">
        <v>1125</v>
      </c>
      <c r="G284" s="4">
        <f t="shared" si="8"/>
        <v>1187.0833333333333</v>
      </c>
      <c r="H284" t="s">
        <v>1126</v>
      </c>
      <c r="I284" t="str">
        <f>VLOOKUP(C284,Customers!A:B,2,FALSE)</f>
        <v>2023:11:30</v>
      </c>
      <c r="J284">
        <f>IFERROR(VLOOKUP($A284,Sheet3!$A:$E,2,FALSE),"")</f>
        <v>13</v>
      </c>
      <c r="K284" t="str">
        <f>IFERROR(VLOOKUP($A284,Sheet3!$A:$E,3,FALSE),"")</f>
        <v>7</v>
      </c>
      <c r="L284" t="str">
        <f>IFERROR(VLOOKUP($A284,Sheet3!$A:$E,4,FALSE),"")</f>
        <v>2024-10-02T04:49:46.000Z</v>
      </c>
      <c r="M284" t="str">
        <f>IFERROR(VLOOKUP($A284,Sheet3!$A:$E,5,FALSE),"")</f>
        <v>2025-10-29T13:47:49.000Z</v>
      </c>
      <c r="N284" s="4">
        <f t="shared" si="9"/>
        <v>307</v>
      </c>
      <c r="O284" t="s">
        <v>2808</v>
      </c>
    </row>
    <row r="285" spans="1:15" x14ac:dyDescent="0.25">
      <c r="A285" t="s">
        <v>1127</v>
      </c>
      <c r="B285" t="s">
        <v>318</v>
      </c>
      <c r="C285" t="s">
        <v>29</v>
      </c>
      <c r="D285" t="s">
        <v>319</v>
      </c>
      <c r="E285" t="s">
        <v>320</v>
      </c>
      <c r="F285" t="s">
        <v>1128</v>
      </c>
      <c r="G285" s="4">
        <f t="shared" si="8"/>
        <v>518.6</v>
      </c>
      <c r="H285" t="s">
        <v>1129</v>
      </c>
      <c r="I285" t="str">
        <f>VLOOKUP(C285,Customers!A:B,2,FALSE)</f>
        <v>2023:11:30</v>
      </c>
      <c r="J285">
        <f>IFERROR(VLOOKUP($A285,Sheet3!$A:$E,2,FALSE),"")</f>
        <v>10</v>
      </c>
      <c r="K285" t="str">
        <f>IFERROR(VLOOKUP($A285,Sheet3!$A:$E,3,FALSE),"")</f>
        <v>4</v>
      </c>
      <c r="L285" t="str">
        <f>IFERROR(VLOOKUP($A285,Sheet3!$A:$E,4,FALSE),"")</f>
        <v>2024-12-06T06:11:57.000Z</v>
      </c>
      <c r="M285" t="str">
        <f>IFERROR(VLOOKUP($A285,Sheet3!$A:$E,5,FALSE),"")</f>
        <v>2025-08-24T04:18:33.000Z</v>
      </c>
      <c r="N285" s="4">
        <f t="shared" si="9"/>
        <v>372</v>
      </c>
      <c r="O285" t="s">
        <v>2809</v>
      </c>
    </row>
    <row r="286" spans="1:15" x14ac:dyDescent="0.25">
      <c r="A286" t="s">
        <v>1130</v>
      </c>
      <c r="B286" t="s">
        <v>318</v>
      </c>
      <c r="C286" t="s">
        <v>29</v>
      </c>
      <c r="D286" t="s">
        <v>319</v>
      </c>
      <c r="E286" t="s">
        <v>320</v>
      </c>
      <c r="F286" t="s">
        <v>1131</v>
      </c>
      <c r="G286" s="4">
        <f t="shared" si="8"/>
        <v>633.79999999999995</v>
      </c>
      <c r="H286" t="s">
        <v>1132</v>
      </c>
      <c r="I286" t="str">
        <f>VLOOKUP(C286,Customers!A:B,2,FALSE)</f>
        <v>2023:11:30</v>
      </c>
      <c r="J286">
        <f>IFERROR(VLOOKUP($A286,Sheet3!$A:$E,2,FALSE),"")</f>
        <v>12</v>
      </c>
      <c r="K286" t="str">
        <f>IFERROR(VLOOKUP($A286,Sheet3!$A:$E,3,FALSE),"")</f>
        <v>8</v>
      </c>
      <c r="L286" t="str">
        <f>IFERROR(VLOOKUP($A286,Sheet3!$A:$E,4,FALSE),"")</f>
        <v>2024-08-13T09:41:18.000Z</v>
      </c>
      <c r="M286" t="str">
        <f>IFERROR(VLOOKUP($A286,Sheet3!$A:$E,5,FALSE),"")</f>
        <v>2026-01-05T10:43:36.000Z</v>
      </c>
      <c r="N286" s="4">
        <f t="shared" si="9"/>
        <v>257</v>
      </c>
      <c r="O286" t="s">
        <v>2808</v>
      </c>
    </row>
    <row r="287" spans="1:15" x14ac:dyDescent="0.25">
      <c r="A287" t="s">
        <v>1133</v>
      </c>
      <c r="B287" t="s">
        <v>318</v>
      </c>
      <c r="C287" t="s">
        <v>29</v>
      </c>
      <c r="D287" t="s">
        <v>319</v>
      </c>
      <c r="E287" t="s">
        <v>320</v>
      </c>
      <c r="F287" t="s">
        <v>1134</v>
      </c>
      <c r="G287" s="4">
        <f t="shared" si="8"/>
        <v>1045.4833333333333</v>
      </c>
      <c r="H287" t="s">
        <v>1135</v>
      </c>
      <c r="I287" t="str">
        <f>VLOOKUP(C287,Customers!A:B,2,FALSE)</f>
        <v>2023:11:30</v>
      </c>
      <c r="J287">
        <f>IFERROR(VLOOKUP($A287,Sheet3!$A:$E,2,FALSE),"")</f>
        <v>24</v>
      </c>
      <c r="K287" t="str">
        <f>IFERROR(VLOOKUP($A287,Sheet3!$A:$E,3,FALSE),"")</f>
        <v>4</v>
      </c>
      <c r="L287" t="str">
        <f>IFERROR(VLOOKUP($A287,Sheet3!$A:$E,4,FALSE),"")</f>
        <v>2024-08-18T02:26:16.000Z</v>
      </c>
      <c r="M287" t="str">
        <f>IFERROR(VLOOKUP($A287,Sheet3!$A:$E,5,FALSE),"")</f>
        <v>2025-12-27T08:24:42.000Z</v>
      </c>
      <c r="N287" s="4">
        <f t="shared" si="9"/>
        <v>262</v>
      </c>
      <c r="O287" t="s">
        <v>2809</v>
      </c>
    </row>
    <row r="288" spans="1:15" x14ac:dyDescent="0.25">
      <c r="A288" t="s">
        <v>1136</v>
      </c>
      <c r="B288" t="s">
        <v>318</v>
      </c>
      <c r="C288" t="s">
        <v>29</v>
      </c>
      <c r="D288" t="s">
        <v>319</v>
      </c>
      <c r="E288" t="s">
        <v>320</v>
      </c>
      <c r="F288" t="s">
        <v>1137</v>
      </c>
      <c r="G288" s="4">
        <f t="shared" si="8"/>
        <v>857.86666666666667</v>
      </c>
      <c r="H288" t="s">
        <v>1138</v>
      </c>
      <c r="I288" t="str">
        <f>VLOOKUP(C288,Customers!A:B,2,FALSE)</f>
        <v>2023:11:30</v>
      </c>
      <c r="J288">
        <f>IFERROR(VLOOKUP($A288,Sheet3!$A:$E,2,FALSE),"")</f>
        <v>30</v>
      </c>
      <c r="K288" t="str">
        <f>IFERROR(VLOOKUP($A288,Sheet3!$A:$E,3,FALSE),"")</f>
        <v>8</v>
      </c>
      <c r="L288" t="str">
        <f>IFERROR(VLOOKUP($A288,Sheet3!$A:$E,4,FALSE),"")</f>
        <v>2024-08-26T05:22:20.000Z</v>
      </c>
      <c r="M288" t="str">
        <f>IFERROR(VLOOKUP($A288,Sheet3!$A:$E,5,FALSE),"")</f>
        <v>2026-01-09T08:33:58.000Z</v>
      </c>
      <c r="N288" s="4">
        <f t="shared" si="9"/>
        <v>270</v>
      </c>
      <c r="O288" t="s">
        <v>2808</v>
      </c>
    </row>
    <row r="289" spans="1:15" x14ac:dyDescent="0.25">
      <c r="A289" t="s">
        <v>1139</v>
      </c>
      <c r="B289" t="s">
        <v>318</v>
      </c>
      <c r="C289" t="s">
        <v>29</v>
      </c>
      <c r="D289" t="s">
        <v>319</v>
      </c>
      <c r="E289" t="s">
        <v>320</v>
      </c>
      <c r="F289" t="s">
        <v>1140</v>
      </c>
      <c r="G289" s="4">
        <f t="shared" si="8"/>
        <v>147.03333333333333</v>
      </c>
      <c r="H289" t="s">
        <v>1141</v>
      </c>
      <c r="I289" t="str">
        <f>VLOOKUP(C289,Customers!A:B,2,FALSE)</f>
        <v>2023:11:30</v>
      </c>
      <c r="J289">
        <f>IFERROR(VLOOKUP($A289,Sheet3!$A:$E,2,FALSE),"")</f>
        <v>10</v>
      </c>
      <c r="K289" t="str">
        <f>IFERROR(VLOOKUP($A289,Sheet3!$A:$E,3,FALSE),"")</f>
        <v>0</v>
      </c>
      <c r="L289" t="str">
        <f>IFERROR(VLOOKUP($A289,Sheet3!$A:$E,4,FALSE),"")</f>
        <v>2024-08-25T18:25:49.000Z</v>
      </c>
      <c r="M289" t="str">
        <f>IFERROR(VLOOKUP($A289,Sheet3!$A:$E,5,FALSE),"")</f>
        <v>2025-01-17T12:42:08.000Z</v>
      </c>
      <c r="N289" s="4">
        <f t="shared" si="9"/>
        <v>269</v>
      </c>
      <c r="O289" t="s">
        <v>2809</v>
      </c>
    </row>
    <row r="290" spans="1:15" x14ac:dyDescent="0.25">
      <c r="A290" t="s">
        <v>1142</v>
      </c>
      <c r="B290" t="s">
        <v>318</v>
      </c>
      <c r="C290" t="s">
        <v>29</v>
      </c>
      <c r="D290" t="s">
        <v>319</v>
      </c>
      <c r="E290" t="s">
        <v>320</v>
      </c>
      <c r="F290" t="s">
        <v>1143</v>
      </c>
      <c r="G290" s="4">
        <f t="shared" si="8"/>
        <v>184.46666666666667</v>
      </c>
      <c r="H290" t="s">
        <v>1144</v>
      </c>
      <c r="I290" t="str">
        <f>VLOOKUP(C290,Customers!A:B,2,FALSE)</f>
        <v>2023:11:30</v>
      </c>
      <c r="J290">
        <f>IFERROR(VLOOKUP($A290,Sheet3!$A:$E,2,FALSE),"")</f>
        <v>16</v>
      </c>
      <c r="K290" t="str">
        <f>IFERROR(VLOOKUP($A290,Sheet3!$A:$E,3,FALSE),"")</f>
        <v>15</v>
      </c>
      <c r="L290" t="str">
        <f>IFERROR(VLOOKUP($A290,Sheet3!$A:$E,4,FALSE),"")</f>
        <v>2024-08-23T05:49:33.000Z</v>
      </c>
      <c r="M290" t="str">
        <f>IFERROR(VLOOKUP($A290,Sheet3!$A:$E,5,FALSE),"")</f>
        <v>2025-03-25T10:18:29.000Z</v>
      </c>
      <c r="N290" s="4">
        <f t="shared" si="9"/>
        <v>267</v>
      </c>
      <c r="O290" t="s">
        <v>2808</v>
      </c>
    </row>
    <row r="291" spans="1:15" x14ac:dyDescent="0.25">
      <c r="A291" t="s">
        <v>1145</v>
      </c>
      <c r="B291" t="s">
        <v>318</v>
      </c>
      <c r="C291" t="s">
        <v>29</v>
      </c>
      <c r="D291" t="s">
        <v>319</v>
      </c>
      <c r="E291" t="s">
        <v>320</v>
      </c>
      <c r="F291" t="s">
        <v>1146</v>
      </c>
      <c r="G291" s="4">
        <f t="shared" si="8"/>
        <v>952.66666666666663</v>
      </c>
      <c r="H291" t="s">
        <v>1147</v>
      </c>
      <c r="I291" t="str">
        <f>VLOOKUP(C291,Customers!A:B,2,FALSE)</f>
        <v>2023:11:30</v>
      </c>
      <c r="J291">
        <f>IFERROR(VLOOKUP($A291,Sheet3!$A:$E,2,FALSE),"")</f>
        <v>7</v>
      </c>
      <c r="K291" t="str">
        <f>IFERROR(VLOOKUP($A291,Sheet3!$A:$E,3,FALSE),"")</f>
        <v>1</v>
      </c>
      <c r="L291" t="str">
        <f>IFERROR(VLOOKUP($A291,Sheet3!$A:$E,4,FALSE),"")</f>
        <v>2024-11-27T10:32:30.000Z</v>
      </c>
      <c r="M291" t="str">
        <f>IFERROR(VLOOKUP($A291,Sheet3!$A:$E,5,FALSE),"")</f>
        <v>2026-02-06T04:39:32.000Z</v>
      </c>
      <c r="N291" s="4">
        <f t="shared" si="9"/>
        <v>363</v>
      </c>
      <c r="O291" t="s">
        <v>2809</v>
      </c>
    </row>
    <row r="292" spans="1:15" x14ac:dyDescent="0.25">
      <c r="A292" t="s">
        <v>1148</v>
      </c>
      <c r="B292" t="s">
        <v>318</v>
      </c>
      <c r="C292" t="s">
        <v>29</v>
      </c>
      <c r="D292" t="s">
        <v>319</v>
      </c>
      <c r="E292" t="s">
        <v>320</v>
      </c>
      <c r="F292" t="s">
        <v>1149</v>
      </c>
      <c r="G292" s="4">
        <f t="shared" si="8"/>
        <v>1273.75</v>
      </c>
      <c r="H292" t="s">
        <v>1150</v>
      </c>
      <c r="I292" t="str">
        <f>VLOOKUP(C292,Customers!A:B,2,FALSE)</f>
        <v>2023:11:30</v>
      </c>
      <c r="J292">
        <f>IFERROR(VLOOKUP($A292,Sheet3!$A:$E,2,FALSE),"")</f>
        <v>10</v>
      </c>
      <c r="K292" t="str">
        <f>IFERROR(VLOOKUP($A292,Sheet3!$A:$E,3,FALSE),"")</f>
        <v>1</v>
      </c>
      <c r="L292" t="str">
        <f>IFERROR(VLOOKUP($A292,Sheet3!$A:$E,4,FALSE),"")</f>
        <v>2024-08-20T08:16:24.000Z</v>
      </c>
      <c r="M292" t="str">
        <f>IFERROR(VLOOKUP($A292,Sheet3!$A:$E,5,FALSE),"")</f>
        <v>2025-12-27T04:23:58.000Z</v>
      </c>
      <c r="N292" s="4">
        <f t="shared" si="9"/>
        <v>264</v>
      </c>
      <c r="O292" t="s">
        <v>2808</v>
      </c>
    </row>
    <row r="293" spans="1:15" x14ac:dyDescent="0.25">
      <c r="A293" t="s">
        <v>1151</v>
      </c>
      <c r="B293" t="s">
        <v>318</v>
      </c>
      <c r="C293" t="s">
        <v>29</v>
      </c>
      <c r="D293" t="s">
        <v>319</v>
      </c>
      <c r="E293" t="s">
        <v>320</v>
      </c>
      <c r="F293" t="s">
        <v>1152</v>
      </c>
      <c r="G293" s="4">
        <f t="shared" si="8"/>
        <v>1327.2666666666667</v>
      </c>
      <c r="H293" t="s">
        <v>1153</v>
      </c>
      <c r="I293" t="str">
        <f>VLOOKUP(C293,Customers!A:B,2,FALSE)</f>
        <v>2023:11:30</v>
      </c>
      <c r="J293">
        <f>IFERROR(VLOOKUP($A293,Sheet3!$A:$E,2,FALSE),"")</f>
        <v>22</v>
      </c>
      <c r="K293" t="str">
        <f>IFERROR(VLOOKUP($A293,Sheet3!$A:$E,3,FALSE),"")</f>
        <v>7</v>
      </c>
      <c r="L293" t="str">
        <f>IFERROR(VLOOKUP($A293,Sheet3!$A:$E,4,FALSE),"")</f>
        <v>2024-08-19T05:03:27.000Z</v>
      </c>
      <c r="M293" t="str">
        <f>IFERROR(VLOOKUP($A293,Sheet3!$A:$E,5,FALSE),"")</f>
        <v>2026-02-17T05:26:09.000Z</v>
      </c>
      <c r="N293" s="4">
        <f t="shared" si="9"/>
        <v>263</v>
      </c>
      <c r="O293" t="s">
        <v>2809</v>
      </c>
    </row>
    <row r="294" spans="1:15" x14ac:dyDescent="0.25">
      <c r="A294" t="s">
        <v>1154</v>
      </c>
      <c r="B294" t="s">
        <v>318</v>
      </c>
      <c r="C294" t="s">
        <v>29</v>
      </c>
      <c r="D294" t="s">
        <v>319</v>
      </c>
      <c r="E294" t="s">
        <v>320</v>
      </c>
      <c r="F294" t="s">
        <v>1155</v>
      </c>
      <c r="G294" s="4">
        <f t="shared" si="8"/>
        <v>1216.1333333333334</v>
      </c>
      <c r="H294" t="s">
        <v>1156</v>
      </c>
      <c r="I294" t="str">
        <f>VLOOKUP(C294,Customers!A:B,2,FALSE)</f>
        <v>2023:11:30</v>
      </c>
      <c r="J294">
        <f>IFERROR(VLOOKUP($A294,Sheet3!$A:$E,2,FALSE),"")</f>
        <v>17</v>
      </c>
      <c r="K294" t="str">
        <f>IFERROR(VLOOKUP($A294,Sheet3!$A:$E,3,FALSE),"")</f>
        <v>4</v>
      </c>
      <c r="L294" t="str">
        <f>IFERROR(VLOOKUP($A294,Sheet3!$A:$E,4,FALSE),"")</f>
        <v>2024-08-14T10:26:55.000Z</v>
      </c>
      <c r="M294" t="str">
        <f>IFERROR(VLOOKUP($A294,Sheet3!$A:$E,5,FALSE),"")</f>
        <v>2025-12-26T05:28:18.000Z</v>
      </c>
      <c r="N294" s="4">
        <f t="shared" si="9"/>
        <v>258</v>
      </c>
      <c r="O294" t="s">
        <v>2808</v>
      </c>
    </row>
    <row r="295" spans="1:15" x14ac:dyDescent="0.25">
      <c r="A295" t="s">
        <v>1157</v>
      </c>
      <c r="B295" t="s">
        <v>318</v>
      </c>
      <c r="C295" t="s">
        <v>29</v>
      </c>
      <c r="D295" t="s">
        <v>319</v>
      </c>
      <c r="E295" t="s">
        <v>320</v>
      </c>
      <c r="F295" t="s">
        <v>1158</v>
      </c>
      <c r="G295" s="4">
        <f t="shared" si="8"/>
        <v>763.75</v>
      </c>
      <c r="H295" t="s">
        <v>1159</v>
      </c>
      <c r="I295" t="str">
        <f>VLOOKUP(C295,Customers!A:B,2,FALSE)</f>
        <v>2023:11:30</v>
      </c>
      <c r="J295">
        <f>IFERROR(VLOOKUP($A295,Sheet3!$A:$E,2,FALSE),"")</f>
        <v>13</v>
      </c>
      <c r="K295" t="str">
        <f>IFERROR(VLOOKUP($A295,Sheet3!$A:$E,3,FALSE),"")</f>
        <v>7</v>
      </c>
      <c r="L295" t="str">
        <f>IFERROR(VLOOKUP($A295,Sheet3!$A:$E,4,FALSE),"")</f>
        <v>2024-09-14T04:23:43.000Z</v>
      </c>
      <c r="M295" t="str">
        <f>IFERROR(VLOOKUP($A295,Sheet3!$A:$E,5,FALSE),"")</f>
        <v>2026-02-19T10:22:54.000Z</v>
      </c>
      <c r="N295" s="4">
        <f t="shared" si="9"/>
        <v>289</v>
      </c>
      <c r="O295" t="s">
        <v>2809</v>
      </c>
    </row>
    <row r="296" spans="1:15" x14ac:dyDescent="0.25">
      <c r="A296" t="s">
        <v>1160</v>
      </c>
      <c r="B296" t="s">
        <v>318</v>
      </c>
      <c r="C296" t="s">
        <v>29</v>
      </c>
      <c r="D296" t="s">
        <v>319</v>
      </c>
      <c r="E296" t="s">
        <v>320</v>
      </c>
      <c r="F296" t="s">
        <v>1161</v>
      </c>
      <c r="G296" s="4">
        <f t="shared" si="8"/>
        <v>562.48333333333335</v>
      </c>
      <c r="H296" t="s">
        <v>1162</v>
      </c>
      <c r="I296" t="str">
        <f>VLOOKUP(C296,Customers!A:B,2,FALSE)</f>
        <v>2023:11:30</v>
      </c>
      <c r="J296">
        <f>IFERROR(VLOOKUP($A296,Sheet3!$A:$E,2,FALSE),"")</f>
        <v>8</v>
      </c>
      <c r="K296" t="str">
        <f>IFERROR(VLOOKUP($A296,Sheet3!$A:$E,3,FALSE),"")</f>
        <v>4</v>
      </c>
      <c r="L296" t="str">
        <f>IFERROR(VLOOKUP($A296,Sheet3!$A:$E,4,FALSE),"")</f>
        <v>2024-08-21T05:25:37.000Z</v>
      </c>
      <c r="M296" t="str">
        <f>IFERROR(VLOOKUP($A296,Sheet3!$A:$E,5,FALSE),"")</f>
        <v>2026-02-28T05:12:59.000Z</v>
      </c>
      <c r="N296" s="4">
        <f t="shared" si="9"/>
        <v>265</v>
      </c>
      <c r="O296" t="s">
        <v>2808</v>
      </c>
    </row>
    <row r="297" spans="1:15" x14ac:dyDescent="0.25">
      <c r="A297" t="s">
        <v>1163</v>
      </c>
      <c r="B297" t="s">
        <v>318</v>
      </c>
      <c r="C297" t="s">
        <v>29</v>
      </c>
      <c r="D297" t="s">
        <v>319</v>
      </c>
      <c r="E297" t="s">
        <v>320</v>
      </c>
      <c r="F297" t="s">
        <v>1164</v>
      </c>
      <c r="G297" s="4">
        <f t="shared" si="8"/>
        <v>850.4666666666667</v>
      </c>
      <c r="H297" t="s">
        <v>1165</v>
      </c>
      <c r="I297" t="str">
        <f>VLOOKUP(C297,Customers!A:B,2,FALSE)</f>
        <v>2023:11:30</v>
      </c>
      <c r="J297">
        <f>IFERROR(VLOOKUP($A297,Sheet3!$A:$E,2,FALSE),"")</f>
        <v>15</v>
      </c>
      <c r="K297" t="str">
        <f>IFERROR(VLOOKUP($A297,Sheet3!$A:$E,3,FALSE),"")</f>
        <v>1</v>
      </c>
      <c r="L297" t="str">
        <f>IFERROR(VLOOKUP($A297,Sheet3!$A:$E,4,FALSE),"")</f>
        <v>2024-08-25T06:54:35.000Z</v>
      </c>
      <c r="M297" t="str">
        <f>IFERROR(VLOOKUP($A297,Sheet3!$A:$E,5,FALSE),"")</f>
        <v>2026-01-23T08:13:59.000Z</v>
      </c>
      <c r="N297" s="4">
        <f t="shared" si="9"/>
        <v>269</v>
      </c>
      <c r="O297" t="s">
        <v>2809</v>
      </c>
    </row>
    <row r="298" spans="1:15" x14ac:dyDescent="0.25">
      <c r="A298" t="s">
        <v>1166</v>
      </c>
      <c r="B298" t="s">
        <v>318</v>
      </c>
      <c r="C298" t="s">
        <v>29</v>
      </c>
      <c r="D298" t="s">
        <v>319</v>
      </c>
      <c r="E298" t="s">
        <v>320</v>
      </c>
      <c r="F298" t="s">
        <v>1167</v>
      </c>
      <c r="G298" s="4">
        <f t="shared" si="8"/>
        <v>185.4</v>
      </c>
      <c r="H298" t="s">
        <v>1168</v>
      </c>
      <c r="I298" t="str">
        <f>VLOOKUP(C298,Customers!A:B,2,FALSE)</f>
        <v>2023:11:30</v>
      </c>
      <c r="J298">
        <f>IFERROR(VLOOKUP($A298,Sheet3!$A:$E,2,FALSE),"")</f>
        <v>10</v>
      </c>
      <c r="K298" t="str">
        <f>IFERROR(VLOOKUP($A298,Sheet3!$A:$E,3,FALSE),"")</f>
        <v>5</v>
      </c>
      <c r="L298" t="str">
        <f>IFERROR(VLOOKUP($A298,Sheet3!$A:$E,4,FALSE),"")</f>
        <v>2025-01-09T07:54:37.000Z</v>
      </c>
      <c r="M298" t="str">
        <f>IFERROR(VLOOKUP($A298,Sheet3!$A:$E,5,FALSE),"")</f>
        <v>2026-01-02T08:17:49.000Z</v>
      </c>
      <c r="N298" s="4">
        <f t="shared" si="9"/>
        <v>406</v>
      </c>
      <c r="O298" t="s">
        <v>2808</v>
      </c>
    </row>
    <row r="299" spans="1:15" x14ac:dyDescent="0.25">
      <c r="A299" t="s">
        <v>1169</v>
      </c>
      <c r="B299" t="s">
        <v>318</v>
      </c>
      <c r="C299" t="s">
        <v>29</v>
      </c>
      <c r="D299" t="s">
        <v>319</v>
      </c>
      <c r="E299" t="s">
        <v>320</v>
      </c>
      <c r="F299" t="s">
        <v>1170</v>
      </c>
      <c r="G299" s="4">
        <f t="shared" si="8"/>
        <v>1121.8</v>
      </c>
      <c r="H299" t="s">
        <v>1171</v>
      </c>
      <c r="I299" t="str">
        <f>VLOOKUP(C299,Customers!A:B,2,FALSE)</f>
        <v>2023:11:30</v>
      </c>
      <c r="J299">
        <f>IFERROR(VLOOKUP($A299,Sheet3!$A:$E,2,FALSE),"")</f>
        <v>16</v>
      </c>
      <c r="K299" t="str">
        <f>IFERROR(VLOOKUP($A299,Sheet3!$A:$E,3,FALSE),"")</f>
        <v>3</v>
      </c>
      <c r="L299" t="str">
        <f>IFERROR(VLOOKUP($A299,Sheet3!$A:$E,4,FALSE),"")</f>
        <v>2025-01-28T10:55:13.000Z</v>
      </c>
      <c r="M299" t="str">
        <f>IFERROR(VLOOKUP($A299,Sheet3!$A:$E,5,FALSE),"")</f>
        <v>2026-01-16T05:03:24.000Z</v>
      </c>
      <c r="N299" s="4">
        <f t="shared" si="9"/>
        <v>425</v>
      </c>
      <c r="O299" t="s">
        <v>2809</v>
      </c>
    </row>
    <row r="300" spans="1:15" x14ac:dyDescent="0.25">
      <c r="A300" t="s">
        <v>1172</v>
      </c>
      <c r="B300" t="s">
        <v>318</v>
      </c>
      <c r="C300" t="s">
        <v>29</v>
      </c>
      <c r="D300" t="s">
        <v>319</v>
      </c>
      <c r="E300" t="s">
        <v>320</v>
      </c>
      <c r="F300" t="s">
        <v>1173</v>
      </c>
      <c r="G300" s="4">
        <f t="shared" si="8"/>
        <v>459.61666666666667</v>
      </c>
      <c r="H300" t="s">
        <v>1174</v>
      </c>
      <c r="I300" t="str">
        <f>VLOOKUP(C300,Customers!A:B,2,FALSE)</f>
        <v>2023:11:30</v>
      </c>
      <c r="J300">
        <f>IFERROR(VLOOKUP($A300,Sheet3!$A:$E,2,FALSE),"")</f>
        <v>19</v>
      </c>
      <c r="K300" t="str">
        <f>IFERROR(VLOOKUP($A300,Sheet3!$A:$E,3,FALSE),"")</f>
        <v>6</v>
      </c>
      <c r="L300" t="str">
        <f>IFERROR(VLOOKUP($A300,Sheet3!$A:$E,4,FALSE),"")</f>
        <v>2025-01-30T07:19:44.000Z</v>
      </c>
      <c r="M300" t="str">
        <f>IFERROR(VLOOKUP($A300,Sheet3!$A:$E,5,FALSE),"")</f>
        <v>2025-11-18T06:50:43.000Z</v>
      </c>
      <c r="N300" s="4">
        <f t="shared" si="9"/>
        <v>427</v>
      </c>
      <c r="O300" t="s">
        <v>2808</v>
      </c>
    </row>
    <row r="301" spans="1:15" x14ac:dyDescent="0.25">
      <c r="A301" t="s">
        <v>1175</v>
      </c>
      <c r="B301" t="s">
        <v>318</v>
      </c>
      <c r="C301" t="s">
        <v>29</v>
      </c>
      <c r="D301" t="s">
        <v>319</v>
      </c>
      <c r="E301" t="s">
        <v>320</v>
      </c>
      <c r="F301" t="s">
        <v>1176</v>
      </c>
      <c r="G301" s="4">
        <f t="shared" si="8"/>
        <v>483.1</v>
      </c>
      <c r="H301" t="s">
        <v>1177</v>
      </c>
      <c r="I301" t="str">
        <f>VLOOKUP(C301,Customers!A:B,2,FALSE)</f>
        <v>2023:11:30</v>
      </c>
      <c r="J301">
        <f>IFERROR(VLOOKUP($A301,Sheet3!$A:$E,2,FALSE),"")</f>
        <v>10</v>
      </c>
      <c r="K301" t="str">
        <f>IFERROR(VLOOKUP($A301,Sheet3!$A:$E,3,FALSE),"")</f>
        <v>0</v>
      </c>
      <c r="L301" t="str">
        <f>IFERROR(VLOOKUP($A301,Sheet3!$A:$E,4,FALSE),"")</f>
        <v>2024-11-19T17:10:10.000Z</v>
      </c>
      <c r="M301" t="str">
        <f>IFERROR(VLOOKUP($A301,Sheet3!$A:$E,5,FALSE),"")</f>
        <v>2025-12-24T09:01:54.000Z</v>
      </c>
      <c r="N301" s="4">
        <f t="shared" si="9"/>
        <v>355</v>
      </c>
      <c r="O301" t="s">
        <v>2809</v>
      </c>
    </row>
    <row r="302" spans="1:15" x14ac:dyDescent="0.25">
      <c r="A302" t="s">
        <v>1178</v>
      </c>
      <c r="B302" t="s">
        <v>318</v>
      </c>
      <c r="C302" t="s">
        <v>29</v>
      </c>
      <c r="D302" t="s">
        <v>319</v>
      </c>
      <c r="E302" t="s">
        <v>320</v>
      </c>
      <c r="F302" t="s">
        <v>1179</v>
      </c>
      <c r="G302" s="4">
        <f t="shared" si="8"/>
        <v>665.1</v>
      </c>
      <c r="H302" t="s">
        <v>1180</v>
      </c>
      <c r="I302" t="str">
        <f>VLOOKUP(C302,Customers!A:B,2,FALSE)</f>
        <v>2023:11:30</v>
      </c>
      <c r="J302">
        <f>IFERROR(VLOOKUP($A302,Sheet3!$A:$E,2,FALSE),"")</f>
        <v>7</v>
      </c>
      <c r="K302" t="str">
        <f>IFERROR(VLOOKUP($A302,Sheet3!$A:$E,3,FALSE),"")</f>
        <v>5</v>
      </c>
      <c r="L302" t="str">
        <f>IFERROR(VLOOKUP($A302,Sheet3!$A:$E,4,FALSE),"")</f>
        <v>2024-12-21T14:53:49.000Z</v>
      </c>
      <c r="M302" t="str">
        <f>IFERROR(VLOOKUP($A302,Sheet3!$A:$E,5,FALSE),"")</f>
        <v>2025-11-11T05:34:22.000Z</v>
      </c>
      <c r="N302" s="4">
        <f t="shared" si="9"/>
        <v>387</v>
      </c>
      <c r="O302" t="s">
        <v>2808</v>
      </c>
    </row>
    <row r="303" spans="1:15" x14ac:dyDescent="0.25">
      <c r="A303" t="s">
        <v>1181</v>
      </c>
      <c r="B303" t="s">
        <v>318</v>
      </c>
      <c r="C303" t="s">
        <v>29</v>
      </c>
      <c r="D303" t="s">
        <v>319</v>
      </c>
      <c r="E303" t="s">
        <v>320</v>
      </c>
      <c r="F303" t="s">
        <v>1182</v>
      </c>
      <c r="G303" s="4">
        <f t="shared" si="8"/>
        <v>143.26666666666668</v>
      </c>
      <c r="H303" t="s">
        <v>1183</v>
      </c>
      <c r="I303" t="str">
        <f>VLOOKUP(C303,Customers!A:B,2,FALSE)</f>
        <v>2023:11:30</v>
      </c>
      <c r="J303">
        <f>IFERROR(VLOOKUP($A303,Sheet3!$A:$E,2,FALSE),"")</f>
        <v>22</v>
      </c>
      <c r="K303" t="str">
        <f>IFERROR(VLOOKUP($A303,Sheet3!$A:$E,3,FALSE),"")</f>
        <v>0</v>
      </c>
      <c r="L303" t="str">
        <f>IFERROR(VLOOKUP($A303,Sheet3!$A:$E,4,FALSE),"")</f>
        <v>2024-12-09T04:32:04.000Z</v>
      </c>
      <c r="M303" t="str">
        <f>IFERROR(VLOOKUP($A303,Sheet3!$A:$E,5,FALSE),"")</f>
        <v>2026-02-01T07:24:32.000Z</v>
      </c>
      <c r="N303" s="4">
        <f t="shared" si="9"/>
        <v>375</v>
      </c>
      <c r="O303" t="s">
        <v>2809</v>
      </c>
    </row>
    <row r="304" spans="1:15" x14ac:dyDescent="0.25">
      <c r="A304" t="s">
        <v>1184</v>
      </c>
      <c r="B304" t="s">
        <v>318</v>
      </c>
      <c r="C304" t="s">
        <v>29</v>
      </c>
      <c r="D304" t="s">
        <v>319</v>
      </c>
      <c r="E304" t="s">
        <v>320</v>
      </c>
      <c r="F304" t="s">
        <v>1185</v>
      </c>
      <c r="G304" s="4">
        <f t="shared" si="8"/>
        <v>101</v>
      </c>
      <c r="H304" t="s">
        <v>1186</v>
      </c>
      <c r="I304" t="str">
        <f>VLOOKUP(C304,Customers!A:B,2,FALSE)</f>
        <v>2023:11:30</v>
      </c>
      <c r="J304">
        <f>IFERROR(VLOOKUP($A304,Sheet3!$A:$E,2,FALSE),"")</f>
        <v>1</v>
      </c>
      <c r="K304" t="str">
        <f>IFERROR(VLOOKUP($A304,Sheet3!$A:$E,3,FALSE),"")</f>
        <v>0</v>
      </c>
      <c r="L304" t="str">
        <f>IFERROR(VLOOKUP($A304,Sheet3!$A:$E,4,FALSE),"")</f>
        <v>2025-04-21T10:22:32.000Z</v>
      </c>
      <c r="M304" t="str">
        <f>IFERROR(VLOOKUP($A304,Sheet3!$A:$E,5,FALSE),"")</f>
        <v>2025-04-21T10:22:32.000Z</v>
      </c>
      <c r="N304" s="4">
        <f t="shared" si="9"/>
        <v>508</v>
      </c>
      <c r="O304" t="s">
        <v>2808</v>
      </c>
    </row>
    <row r="305" spans="1:15" x14ac:dyDescent="0.25">
      <c r="A305" t="s">
        <v>1187</v>
      </c>
      <c r="B305" t="s">
        <v>318</v>
      </c>
      <c r="C305" t="s">
        <v>29</v>
      </c>
      <c r="D305" t="s">
        <v>319</v>
      </c>
      <c r="E305" t="s">
        <v>320</v>
      </c>
      <c r="F305" t="s">
        <v>1188</v>
      </c>
      <c r="G305" s="4">
        <f t="shared" si="8"/>
        <v>1080.6833333333334</v>
      </c>
      <c r="H305" t="s">
        <v>1189</v>
      </c>
      <c r="I305" t="str">
        <f>VLOOKUP(C305,Customers!A:B,2,FALSE)</f>
        <v>2023:11:30</v>
      </c>
      <c r="J305">
        <f>IFERROR(VLOOKUP($A305,Sheet3!$A:$E,2,FALSE),"")</f>
        <v>11</v>
      </c>
      <c r="K305" t="str">
        <f>IFERROR(VLOOKUP($A305,Sheet3!$A:$E,3,FALSE),"")</f>
        <v>6</v>
      </c>
      <c r="L305" t="str">
        <f>IFERROR(VLOOKUP($A305,Sheet3!$A:$E,4,FALSE),"")</f>
        <v>2025-01-29T06:51:16.000Z</v>
      </c>
      <c r="M305" t="str">
        <f>IFERROR(VLOOKUP($A305,Sheet3!$A:$E,5,FALSE),"")</f>
        <v>2025-09-06T05:38:48.000Z</v>
      </c>
      <c r="N305" s="4">
        <f t="shared" si="9"/>
        <v>426</v>
      </c>
      <c r="O305" t="s">
        <v>2809</v>
      </c>
    </row>
    <row r="306" spans="1:15" x14ac:dyDescent="0.25">
      <c r="A306" t="s">
        <v>1190</v>
      </c>
      <c r="B306" t="s">
        <v>318</v>
      </c>
      <c r="C306" t="s">
        <v>29</v>
      </c>
      <c r="D306" t="s">
        <v>319</v>
      </c>
      <c r="E306" t="s">
        <v>320</v>
      </c>
      <c r="F306" t="s">
        <v>1191</v>
      </c>
      <c r="G306" s="4">
        <f t="shared" si="8"/>
        <v>566.83333333333337</v>
      </c>
      <c r="H306" t="s">
        <v>1192</v>
      </c>
      <c r="I306" t="str">
        <f>VLOOKUP(C306,Customers!A:B,2,FALSE)</f>
        <v>2023:11:30</v>
      </c>
      <c r="J306">
        <f>IFERROR(VLOOKUP($A306,Sheet3!$A:$E,2,FALSE),"")</f>
        <v>7</v>
      </c>
      <c r="K306" t="str">
        <f>IFERROR(VLOOKUP($A306,Sheet3!$A:$E,3,FALSE),"")</f>
        <v>2</v>
      </c>
      <c r="L306" t="str">
        <f>IFERROR(VLOOKUP($A306,Sheet3!$A:$E,4,FALSE),"")</f>
        <v>2024-12-10T13:48:52.000Z</v>
      </c>
      <c r="M306" t="str">
        <f>IFERROR(VLOOKUP($A306,Sheet3!$A:$E,5,FALSE),"")</f>
        <v>2026-01-09T07:33:53.000Z</v>
      </c>
      <c r="N306" s="4">
        <f t="shared" si="9"/>
        <v>376</v>
      </c>
      <c r="O306" t="s">
        <v>2808</v>
      </c>
    </row>
    <row r="307" spans="1:15" x14ac:dyDescent="0.25">
      <c r="A307" t="s">
        <v>1193</v>
      </c>
      <c r="B307" t="s">
        <v>318</v>
      </c>
      <c r="C307" t="s">
        <v>29</v>
      </c>
      <c r="D307" t="s">
        <v>319</v>
      </c>
      <c r="E307" t="s">
        <v>320</v>
      </c>
      <c r="F307" t="s">
        <v>1194</v>
      </c>
      <c r="G307" s="4">
        <f t="shared" si="8"/>
        <v>615.65</v>
      </c>
      <c r="H307" t="s">
        <v>1195</v>
      </c>
      <c r="I307" t="str">
        <f>VLOOKUP(C307,Customers!A:B,2,FALSE)</f>
        <v>2023:11:30</v>
      </c>
      <c r="J307">
        <f>IFERROR(VLOOKUP($A307,Sheet3!$A:$E,2,FALSE),"")</f>
        <v>16</v>
      </c>
      <c r="K307" t="str">
        <f>IFERROR(VLOOKUP($A307,Sheet3!$A:$E,3,FALSE),"")</f>
        <v>6</v>
      </c>
      <c r="L307" t="str">
        <f>IFERROR(VLOOKUP($A307,Sheet3!$A:$E,4,FALSE),"")</f>
        <v>2024-12-16T08:22:00.000Z</v>
      </c>
      <c r="M307" t="str">
        <f>IFERROR(VLOOKUP($A307,Sheet3!$A:$E,5,FALSE),"")</f>
        <v>2025-12-16T06:53:49.000Z</v>
      </c>
      <c r="N307" s="4">
        <f t="shared" si="9"/>
        <v>382</v>
      </c>
      <c r="O307" t="s">
        <v>2809</v>
      </c>
    </row>
    <row r="308" spans="1:15" x14ac:dyDescent="0.25">
      <c r="A308" t="s">
        <v>1196</v>
      </c>
      <c r="B308" t="s">
        <v>318</v>
      </c>
      <c r="C308" t="s">
        <v>29</v>
      </c>
      <c r="D308" t="s">
        <v>319</v>
      </c>
      <c r="E308" t="s">
        <v>320</v>
      </c>
      <c r="F308" t="s">
        <v>1197</v>
      </c>
      <c r="G308" s="4">
        <f t="shared" si="8"/>
        <v>555.91666666666663</v>
      </c>
      <c r="H308" t="s">
        <v>1198</v>
      </c>
      <c r="I308" t="str">
        <f>VLOOKUP(C308,Customers!A:B,2,FALSE)</f>
        <v>2023:11:30</v>
      </c>
      <c r="J308">
        <f>IFERROR(VLOOKUP($A308,Sheet3!$A:$E,2,FALSE),"")</f>
        <v>15</v>
      </c>
      <c r="K308" t="str">
        <f>IFERROR(VLOOKUP($A308,Sheet3!$A:$E,3,FALSE),"")</f>
        <v>9</v>
      </c>
      <c r="L308" t="str">
        <f>IFERROR(VLOOKUP($A308,Sheet3!$A:$E,4,FALSE),"")</f>
        <v>2024-08-20T06:54:26.000Z</v>
      </c>
      <c r="M308" t="str">
        <f>IFERROR(VLOOKUP($A308,Sheet3!$A:$E,5,FALSE),"")</f>
        <v>2025-11-04T06:48:09.000Z</v>
      </c>
      <c r="N308" s="4">
        <f t="shared" si="9"/>
        <v>264</v>
      </c>
      <c r="O308" t="s">
        <v>2808</v>
      </c>
    </row>
    <row r="309" spans="1:15" x14ac:dyDescent="0.25">
      <c r="A309" t="s">
        <v>1199</v>
      </c>
      <c r="B309" t="s">
        <v>318</v>
      </c>
      <c r="C309" t="s">
        <v>29</v>
      </c>
      <c r="D309" t="s">
        <v>319</v>
      </c>
      <c r="E309" t="s">
        <v>320</v>
      </c>
      <c r="F309" t="s">
        <v>1200</v>
      </c>
      <c r="G309" s="4">
        <f t="shared" si="8"/>
        <v>40.799999999999997</v>
      </c>
      <c r="H309" t="s">
        <v>1201</v>
      </c>
      <c r="I309" t="str">
        <f>VLOOKUP(C309,Customers!A:B,2,FALSE)</f>
        <v>2023:11:30</v>
      </c>
      <c r="J309">
        <f>IFERROR(VLOOKUP($A309,Sheet3!$A:$E,2,FALSE),"")</f>
        <v>27</v>
      </c>
      <c r="K309" t="str">
        <f>IFERROR(VLOOKUP($A309,Sheet3!$A:$E,3,FALSE),"")</f>
        <v>9</v>
      </c>
      <c r="L309" t="str">
        <f>IFERROR(VLOOKUP($A309,Sheet3!$A:$E,4,FALSE),"")</f>
        <v>2024-11-14T15:51:19.000Z</v>
      </c>
      <c r="M309" t="str">
        <f>IFERROR(VLOOKUP($A309,Sheet3!$A:$E,5,FALSE),"")</f>
        <v>2025-12-30T07:08:44.000Z</v>
      </c>
      <c r="N309" s="4">
        <f t="shared" si="9"/>
        <v>350</v>
      </c>
      <c r="O309" t="s">
        <v>2809</v>
      </c>
    </row>
    <row r="310" spans="1:15" x14ac:dyDescent="0.25">
      <c r="A310" t="s">
        <v>1202</v>
      </c>
      <c r="B310" t="s">
        <v>318</v>
      </c>
      <c r="C310" t="s">
        <v>29</v>
      </c>
      <c r="D310" t="s">
        <v>319</v>
      </c>
      <c r="E310" t="s">
        <v>320</v>
      </c>
      <c r="F310" t="s">
        <v>1203</v>
      </c>
      <c r="G310" s="4">
        <f t="shared" si="8"/>
        <v>142.98333333333332</v>
      </c>
      <c r="H310" t="s">
        <v>1204</v>
      </c>
      <c r="I310" t="str">
        <f>VLOOKUP(C310,Customers!A:B,2,FALSE)</f>
        <v>2023:11:30</v>
      </c>
      <c r="J310">
        <f>IFERROR(VLOOKUP($A310,Sheet3!$A:$E,2,FALSE),"")</f>
        <v>4</v>
      </c>
      <c r="K310" t="str">
        <f>IFERROR(VLOOKUP($A310,Sheet3!$A:$E,3,FALSE),"")</f>
        <v>0</v>
      </c>
      <c r="L310" t="str">
        <f>IFERROR(VLOOKUP($A310,Sheet3!$A:$E,4,FALSE),"")</f>
        <v>2025-02-05T11:52:19.000Z</v>
      </c>
      <c r="M310" t="str">
        <f>IFERROR(VLOOKUP($A310,Sheet3!$A:$E,5,FALSE),"")</f>
        <v>2025-08-05T08:17:27.000Z</v>
      </c>
      <c r="N310" s="4">
        <f t="shared" si="9"/>
        <v>433</v>
      </c>
      <c r="O310" t="s">
        <v>2808</v>
      </c>
    </row>
    <row r="311" spans="1:15" x14ac:dyDescent="0.25">
      <c r="A311" t="s">
        <v>1205</v>
      </c>
      <c r="B311" t="s">
        <v>318</v>
      </c>
      <c r="C311" t="s">
        <v>29</v>
      </c>
      <c r="D311" t="s">
        <v>319</v>
      </c>
      <c r="E311" t="s">
        <v>320</v>
      </c>
      <c r="F311" t="s">
        <v>1206</v>
      </c>
      <c r="G311" s="4">
        <f t="shared" si="8"/>
        <v>1318.8166666666666</v>
      </c>
      <c r="H311" t="s">
        <v>1207</v>
      </c>
      <c r="I311" t="str">
        <f>VLOOKUP(C311,Customers!A:B,2,FALSE)</f>
        <v>2023:11:30</v>
      </c>
      <c r="J311">
        <f>IFERROR(VLOOKUP($A311,Sheet3!$A:$E,2,FALSE),"")</f>
        <v>3</v>
      </c>
      <c r="K311" t="str">
        <f>IFERROR(VLOOKUP($A311,Sheet3!$A:$E,3,FALSE),"")</f>
        <v>0</v>
      </c>
      <c r="L311" t="str">
        <f>IFERROR(VLOOKUP($A311,Sheet3!$A:$E,4,FALSE),"")</f>
        <v>2025-02-13T08:45:38.000Z</v>
      </c>
      <c r="M311" t="str">
        <f>IFERROR(VLOOKUP($A311,Sheet3!$A:$E,5,FALSE),"")</f>
        <v>2025-06-27T04:30:19.000Z</v>
      </c>
      <c r="N311" s="4">
        <f t="shared" si="9"/>
        <v>441</v>
      </c>
      <c r="O311" t="s">
        <v>2809</v>
      </c>
    </row>
    <row r="312" spans="1:15" x14ac:dyDescent="0.25">
      <c r="A312" t="s">
        <v>1208</v>
      </c>
      <c r="B312" t="s">
        <v>318</v>
      </c>
      <c r="C312" t="s">
        <v>29</v>
      </c>
      <c r="D312" t="s">
        <v>319</v>
      </c>
      <c r="E312" t="s">
        <v>320</v>
      </c>
      <c r="F312" t="s">
        <v>1209</v>
      </c>
      <c r="G312" s="4">
        <f t="shared" si="8"/>
        <v>309.89999999999998</v>
      </c>
      <c r="H312" t="s">
        <v>1210</v>
      </c>
      <c r="I312" t="str">
        <f>VLOOKUP(C312,Customers!A:B,2,FALSE)</f>
        <v>2023:11:30</v>
      </c>
      <c r="J312">
        <f>IFERROR(VLOOKUP($A312,Sheet3!$A:$E,2,FALSE),"")</f>
        <v>22</v>
      </c>
      <c r="K312" t="str">
        <f>IFERROR(VLOOKUP($A312,Sheet3!$A:$E,3,FALSE),"")</f>
        <v>13</v>
      </c>
      <c r="L312" t="str">
        <f>IFERROR(VLOOKUP($A312,Sheet3!$A:$E,4,FALSE),"")</f>
        <v>2024-12-11T07:30:14.000Z</v>
      </c>
      <c r="M312" t="str">
        <f>IFERROR(VLOOKUP($A312,Sheet3!$A:$E,5,FALSE),"")</f>
        <v>2025-10-09T08:08:37.000Z</v>
      </c>
      <c r="N312" s="4">
        <f t="shared" si="9"/>
        <v>377</v>
      </c>
      <c r="O312" t="s">
        <v>2808</v>
      </c>
    </row>
    <row r="313" spans="1:15" x14ac:dyDescent="0.25">
      <c r="A313" t="s">
        <v>1211</v>
      </c>
      <c r="B313" t="s">
        <v>318</v>
      </c>
      <c r="C313" t="s">
        <v>84</v>
      </c>
      <c r="D313" t="s">
        <v>1212</v>
      </c>
      <c r="E313" t="s">
        <v>1213</v>
      </c>
      <c r="F313" t="s">
        <v>1214</v>
      </c>
      <c r="G313" s="4">
        <f t="shared" si="8"/>
        <v>534.9</v>
      </c>
      <c r="H313" t="s">
        <v>1215</v>
      </c>
      <c r="I313" t="str">
        <f>VLOOKUP(C313,Customers!A:B,2,FALSE)</f>
        <v>2024:12:04</v>
      </c>
      <c r="J313">
        <f>IFERROR(VLOOKUP($A313,Sheet3!$A:$E,2,FALSE),"")</f>
        <v>16</v>
      </c>
      <c r="K313" t="str">
        <f>IFERROR(VLOOKUP($A313,Sheet3!$A:$E,3,FALSE),"")</f>
        <v>5</v>
      </c>
      <c r="L313" t="str">
        <f>IFERROR(VLOOKUP($A313,Sheet3!$A:$E,4,FALSE),"")</f>
        <v>2024-07-24T06:20:47.000Z</v>
      </c>
      <c r="M313" t="str">
        <f>IFERROR(VLOOKUP($A313,Sheet3!$A:$E,5,FALSE),"")</f>
        <v>2025-11-25T03:23:08.000Z</v>
      </c>
      <c r="N313" s="4">
        <f t="shared" si="9"/>
        <v>-133</v>
      </c>
      <c r="O313" t="s">
        <v>2809</v>
      </c>
    </row>
    <row r="314" spans="1:15" x14ac:dyDescent="0.25">
      <c r="A314" t="s">
        <v>1216</v>
      </c>
      <c r="B314" t="s">
        <v>318</v>
      </c>
      <c r="C314" t="s">
        <v>29</v>
      </c>
      <c r="D314" t="s">
        <v>319</v>
      </c>
      <c r="E314" t="s">
        <v>320</v>
      </c>
      <c r="F314" t="s">
        <v>1217</v>
      </c>
      <c r="G314" s="4">
        <f t="shared" si="8"/>
        <v>522.23333333333335</v>
      </c>
      <c r="H314" t="s">
        <v>1218</v>
      </c>
      <c r="I314" t="str">
        <f>VLOOKUP(C314,Customers!A:B,2,FALSE)</f>
        <v>2023:11:30</v>
      </c>
      <c r="J314">
        <f>IFERROR(VLOOKUP($A314,Sheet3!$A:$E,2,FALSE),"")</f>
        <v>24</v>
      </c>
      <c r="K314" t="str">
        <f>IFERROR(VLOOKUP($A314,Sheet3!$A:$E,3,FALSE),"")</f>
        <v>13</v>
      </c>
      <c r="L314" t="str">
        <f>IFERROR(VLOOKUP($A314,Sheet3!$A:$E,4,FALSE),"")</f>
        <v>2024-11-19T06:31:36.000Z</v>
      </c>
      <c r="M314" t="str">
        <f>IFERROR(VLOOKUP($A314,Sheet3!$A:$E,5,FALSE),"")</f>
        <v>2026-01-10T06:40:44.000Z</v>
      </c>
      <c r="N314" s="4">
        <f t="shared" si="9"/>
        <v>355</v>
      </c>
      <c r="O314" t="s">
        <v>2808</v>
      </c>
    </row>
    <row r="315" spans="1:15" x14ac:dyDescent="0.25">
      <c r="A315" t="s">
        <v>1219</v>
      </c>
      <c r="B315" t="s">
        <v>318</v>
      </c>
      <c r="C315" t="s">
        <v>29</v>
      </c>
      <c r="D315" t="s">
        <v>319</v>
      </c>
      <c r="E315" t="s">
        <v>320</v>
      </c>
      <c r="F315" t="s">
        <v>1220</v>
      </c>
      <c r="G315" s="4">
        <f t="shared" si="8"/>
        <v>1080.8</v>
      </c>
      <c r="H315" t="s">
        <v>1221</v>
      </c>
      <c r="I315" t="str">
        <f>VLOOKUP(C315,Customers!A:B,2,FALSE)</f>
        <v>2023:11:30</v>
      </c>
      <c r="J315">
        <f>IFERROR(VLOOKUP($A315,Sheet3!$A:$E,2,FALSE),"")</f>
        <v>17</v>
      </c>
      <c r="K315" t="str">
        <f>IFERROR(VLOOKUP($A315,Sheet3!$A:$E,3,FALSE),"")</f>
        <v>6</v>
      </c>
      <c r="L315" t="str">
        <f>IFERROR(VLOOKUP($A315,Sheet3!$A:$E,4,FALSE),"")</f>
        <v>2024-12-14T11:22:28.000Z</v>
      </c>
      <c r="M315" t="str">
        <f>IFERROR(VLOOKUP($A315,Sheet3!$A:$E,5,FALSE),"")</f>
        <v>2026-01-30T13:39:01.000Z</v>
      </c>
      <c r="N315" s="4">
        <f t="shared" si="9"/>
        <v>380</v>
      </c>
      <c r="O315" t="s">
        <v>2809</v>
      </c>
    </row>
    <row r="316" spans="1:15" x14ac:dyDescent="0.25">
      <c r="A316" t="s">
        <v>1222</v>
      </c>
      <c r="B316" t="s">
        <v>318</v>
      </c>
      <c r="C316" t="s">
        <v>29</v>
      </c>
      <c r="D316" t="s">
        <v>319</v>
      </c>
      <c r="E316" t="s">
        <v>320</v>
      </c>
      <c r="F316" t="s">
        <v>1223</v>
      </c>
      <c r="G316" s="4">
        <f t="shared" si="8"/>
        <v>530.08333333333337</v>
      </c>
      <c r="H316" t="s">
        <v>1224</v>
      </c>
      <c r="I316" t="str">
        <f>VLOOKUP(C316,Customers!A:B,2,FALSE)</f>
        <v>2023:11:30</v>
      </c>
      <c r="J316">
        <f>IFERROR(VLOOKUP($A316,Sheet3!$A:$E,2,FALSE),"")</f>
        <v>8</v>
      </c>
      <c r="K316" t="str">
        <f>IFERROR(VLOOKUP($A316,Sheet3!$A:$E,3,FALSE),"")</f>
        <v>1</v>
      </c>
      <c r="L316" t="str">
        <f>IFERROR(VLOOKUP($A316,Sheet3!$A:$E,4,FALSE),"")</f>
        <v>2025-02-05T06:22:40.000Z</v>
      </c>
      <c r="M316" t="str">
        <f>IFERROR(VLOOKUP($A316,Sheet3!$A:$E,5,FALSE),"")</f>
        <v>2025-12-02T08:50:45.000Z</v>
      </c>
      <c r="N316" s="4">
        <f t="shared" si="9"/>
        <v>433</v>
      </c>
      <c r="O316" t="s">
        <v>2808</v>
      </c>
    </row>
    <row r="317" spans="1:15" x14ac:dyDescent="0.25">
      <c r="A317" t="s">
        <v>1225</v>
      </c>
      <c r="B317" t="s">
        <v>318</v>
      </c>
      <c r="C317" t="s">
        <v>29</v>
      </c>
      <c r="D317" t="s">
        <v>319</v>
      </c>
      <c r="E317" t="s">
        <v>320</v>
      </c>
      <c r="F317" t="s">
        <v>1226</v>
      </c>
      <c r="G317" s="4">
        <f t="shared" si="8"/>
        <v>357.35</v>
      </c>
      <c r="H317" t="s">
        <v>1227</v>
      </c>
      <c r="I317" t="str">
        <f>VLOOKUP(C317,Customers!A:B,2,FALSE)</f>
        <v>2023:11:30</v>
      </c>
      <c r="J317">
        <f>IFERROR(VLOOKUP($A317,Sheet3!$A:$E,2,FALSE),"")</f>
        <v>18</v>
      </c>
      <c r="K317" t="str">
        <f>IFERROR(VLOOKUP($A317,Sheet3!$A:$E,3,FALSE),"")</f>
        <v>4</v>
      </c>
      <c r="L317" t="str">
        <f>IFERROR(VLOOKUP($A317,Sheet3!$A:$E,4,FALSE),"")</f>
        <v>2025-03-02T11:39:09.000Z</v>
      </c>
      <c r="M317" t="str">
        <f>IFERROR(VLOOKUP($A317,Sheet3!$A:$E,5,FALSE),"")</f>
        <v>2026-03-21T06:37:34.000Z</v>
      </c>
      <c r="N317" s="4">
        <f t="shared" si="9"/>
        <v>458</v>
      </c>
      <c r="O317" t="s">
        <v>2809</v>
      </c>
    </row>
    <row r="318" spans="1:15" x14ac:dyDescent="0.25">
      <c r="A318" t="s">
        <v>1228</v>
      </c>
      <c r="B318" t="s">
        <v>318</v>
      </c>
      <c r="C318" t="s">
        <v>29</v>
      </c>
      <c r="D318" t="s">
        <v>319</v>
      </c>
      <c r="E318" t="s">
        <v>320</v>
      </c>
      <c r="F318" t="s">
        <v>1229</v>
      </c>
      <c r="G318" s="4">
        <f t="shared" si="8"/>
        <v>1378.8</v>
      </c>
      <c r="H318" t="s">
        <v>1230</v>
      </c>
      <c r="I318" t="str">
        <f>VLOOKUP(C318,Customers!A:B,2,FALSE)</f>
        <v>2023:11:30</v>
      </c>
      <c r="J318">
        <f>IFERROR(VLOOKUP($A318,Sheet3!$A:$E,2,FALSE),"")</f>
        <v>12</v>
      </c>
      <c r="K318" t="str">
        <f>IFERROR(VLOOKUP($A318,Sheet3!$A:$E,3,FALSE),"")</f>
        <v>7</v>
      </c>
      <c r="L318" t="str">
        <f>IFERROR(VLOOKUP($A318,Sheet3!$A:$E,4,FALSE),"")</f>
        <v>2025-01-23T06:38:44.000Z</v>
      </c>
      <c r="M318" t="str">
        <f>IFERROR(VLOOKUP($A318,Sheet3!$A:$E,5,FALSE),"")</f>
        <v>2026-02-11T08:55:04.000Z</v>
      </c>
      <c r="N318" s="4">
        <f t="shared" si="9"/>
        <v>420</v>
      </c>
      <c r="O318" t="s">
        <v>2808</v>
      </c>
    </row>
    <row r="319" spans="1:15" x14ac:dyDescent="0.25">
      <c r="A319" t="s">
        <v>1231</v>
      </c>
      <c r="B319" t="s">
        <v>318</v>
      </c>
      <c r="C319" t="s">
        <v>29</v>
      </c>
      <c r="D319" t="s">
        <v>319</v>
      </c>
      <c r="E319" t="s">
        <v>320</v>
      </c>
      <c r="F319" t="s">
        <v>1232</v>
      </c>
      <c r="G319" s="4">
        <f t="shared" si="8"/>
        <v>155.44999999999999</v>
      </c>
      <c r="H319" t="s">
        <v>1233</v>
      </c>
      <c r="I319" t="str">
        <f>VLOOKUP(C319,Customers!A:B,2,FALSE)</f>
        <v>2023:11:30</v>
      </c>
      <c r="J319">
        <f>IFERROR(VLOOKUP($A319,Sheet3!$A:$E,2,FALSE),"")</f>
        <v>3</v>
      </c>
      <c r="K319" t="str">
        <f>IFERROR(VLOOKUP($A319,Sheet3!$A:$E,3,FALSE),"")</f>
        <v>0</v>
      </c>
      <c r="L319" t="str">
        <f>IFERROR(VLOOKUP($A319,Sheet3!$A:$E,4,FALSE),"")</f>
        <v>2025-01-11T09:31:53.000Z</v>
      </c>
      <c r="M319" t="str">
        <f>IFERROR(VLOOKUP($A319,Sheet3!$A:$E,5,FALSE),"")</f>
        <v>2025-06-10T04:15:27.000Z</v>
      </c>
      <c r="N319" s="4">
        <f t="shared" si="9"/>
        <v>408</v>
      </c>
      <c r="O319" t="s">
        <v>2809</v>
      </c>
    </row>
    <row r="320" spans="1:15" x14ac:dyDescent="0.25">
      <c r="A320" t="s">
        <v>1234</v>
      </c>
      <c r="B320" t="s">
        <v>318</v>
      </c>
      <c r="C320" t="s">
        <v>29</v>
      </c>
      <c r="D320" t="s">
        <v>319</v>
      </c>
      <c r="E320" t="s">
        <v>320</v>
      </c>
      <c r="F320" t="s">
        <v>1235</v>
      </c>
      <c r="G320" s="4">
        <f t="shared" si="8"/>
        <v>465.6</v>
      </c>
      <c r="H320" t="s">
        <v>1236</v>
      </c>
      <c r="I320" t="str">
        <f>VLOOKUP(C320,Customers!A:B,2,FALSE)</f>
        <v>2023:11:30</v>
      </c>
      <c r="J320">
        <f>IFERROR(VLOOKUP($A320,Sheet3!$A:$E,2,FALSE),"")</f>
        <v>24</v>
      </c>
      <c r="K320" t="str">
        <f>IFERROR(VLOOKUP($A320,Sheet3!$A:$E,3,FALSE),"")</f>
        <v>8</v>
      </c>
      <c r="L320" t="str">
        <f>IFERROR(VLOOKUP($A320,Sheet3!$A:$E,4,FALSE),"")</f>
        <v>2025-04-07T05:22:46.000Z</v>
      </c>
      <c r="M320" t="str">
        <f>IFERROR(VLOOKUP($A320,Sheet3!$A:$E,5,FALSE),"")</f>
        <v>2026-04-21T07:22:55.000Z</v>
      </c>
      <c r="N320" s="4">
        <f t="shared" si="9"/>
        <v>494</v>
      </c>
      <c r="O320" t="s">
        <v>2808</v>
      </c>
    </row>
    <row r="321" spans="1:15" x14ac:dyDescent="0.25">
      <c r="A321" t="s">
        <v>1237</v>
      </c>
      <c r="B321" t="s">
        <v>318</v>
      </c>
      <c r="C321" t="s">
        <v>29</v>
      </c>
      <c r="D321" t="s">
        <v>319</v>
      </c>
      <c r="E321" t="s">
        <v>320</v>
      </c>
      <c r="F321" t="s">
        <v>1238</v>
      </c>
      <c r="G321" s="4">
        <f t="shared" si="8"/>
        <v>16.083333333333332</v>
      </c>
      <c r="H321" t="s">
        <v>578</v>
      </c>
      <c r="I321" t="str">
        <f>VLOOKUP(C321,Customers!A:B,2,FALSE)</f>
        <v>2023:11:30</v>
      </c>
      <c r="J321">
        <f>IFERROR(VLOOKUP($A321,Sheet3!$A:$E,2,FALSE),"")</f>
        <v>2</v>
      </c>
      <c r="K321" t="str">
        <f>IFERROR(VLOOKUP($A321,Sheet3!$A:$E,3,FALSE),"")</f>
        <v>0</v>
      </c>
      <c r="L321" t="str">
        <f>IFERROR(VLOOKUP($A321,Sheet3!$A:$E,4,FALSE),"")</f>
        <v>2025-01-08T03:52:14.000Z</v>
      </c>
      <c r="M321" t="str">
        <f>IFERROR(VLOOKUP($A321,Sheet3!$A:$E,5,FALSE),"")</f>
        <v>2025-07-11T07:11:15.000Z</v>
      </c>
      <c r="N321" s="4">
        <f t="shared" si="9"/>
        <v>405</v>
      </c>
      <c r="O321" t="s">
        <v>2809</v>
      </c>
    </row>
    <row r="322" spans="1:15" x14ac:dyDescent="0.25">
      <c r="A322" t="s">
        <v>1239</v>
      </c>
      <c r="B322" t="s">
        <v>318</v>
      </c>
      <c r="C322" t="s">
        <v>90</v>
      </c>
      <c r="D322" t="s">
        <v>90</v>
      </c>
      <c r="E322" t="s">
        <v>1240</v>
      </c>
      <c r="F322" t="s">
        <v>1241</v>
      </c>
      <c r="G322" s="4">
        <f t="shared" ref="G322:G385" si="10">IF(OR(F322="NULL",F322=""),"",(HOUR(F322)*60)+MINUTE(F322)+(SECOND(F322)/60))</f>
        <v>991.43333333333328</v>
      </c>
      <c r="H322" t="s">
        <v>1242</v>
      </c>
      <c r="I322" t="str">
        <f>VLOOKUP(C322,Customers!A:B,2,FALSE)</f>
        <v>2025:01:17</v>
      </c>
      <c r="J322">
        <f>IFERROR(VLOOKUP($A322,Sheet3!$A:$E,2,FALSE),"")</f>
        <v>27</v>
      </c>
      <c r="K322" t="str">
        <f>IFERROR(VLOOKUP($A322,Sheet3!$A:$E,3,FALSE),"")</f>
        <v>5</v>
      </c>
      <c r="L322" t="str">
        <f>IFERROR(VLOOKUP($A322,Sheet3!$A:$E,4,FALSE),"")</f>
        <v>2025-01-30T01:28:18.000Z</v>
      </c>
      <c r="M322" t="str">
        <f>IFERROR(VLOOKUP($A322,Sheet3!$A:$E,5,FALSE),"")</f>
        <v>2026-01-21T04:30:35.000Z</v>
      </c>
      <c r="N322" s="4">
        <f t="shared" si="9"/>
        <v>13</v>
      </c>
      <c r="O322" t="s">
        <v>2808</v>
      </c>
    </row>
    <row r="323" spans="1:15" x14ac:dyDescent="0.25">
      <c r="A323" t="s">
        <v>1243</v>
      </c>
      <c r="B323" t="s">
        <v>318</v>
      </c>
      <c r="C323" t="s">
        <v>125</v>
      </c>
      <c r="D323" t="s">
        <v>972</v>
      </c>
      <c r="E323" t="s">
        <v>973</v>
      </c>
      <c r="F323" t="s">
        <v>1244</v>
      </c>
      <c r="G323" s="4">
        <f t="shared" si="10"/>
        <v>1396.0333333333333</v>
      </c>
      <c r="H323" t="s">
        <v>1245</v>
      </c>
      <c r="I323" t="str">
        <f>VLOOKUP(C323,Customers!A:B,2,FALSE)</f>
        <v>2025:08:21</v>
      </c>
      <c r="J323">
        <f>IFERROR(VLOOKUP($A323,Sheet3!$A:$E,2,FALSE),"")</f>
        <v>13</v>
      </c>
      <c r="K323" t="str">
        <f>IFERROR(VLOOKUP($A323,Sheet3!$A:$E,3,FALSE),"")</f>
        <v>4</v>
      </c>
      <c r="L323" t="str">
        <f>IFERROR(VLOOKUP($A323,Sheet3!$A:$E,4,FALSE),"")</f>
        <v>2025-02-05T03:59:05.000Z</v>
      </c>
      <c r="M323" t="str">
        <f>IFERROR(VLOOKUP($A323,Sheet3!$A:$E,5,FALSE),"")</f>
        <v>2026-05-05T11:08:20.000Z</v>
      </c>
      <c r="N323" s="4">
        <f t="shared" ref="N323:N386" si="11">IFERROR(LEFT(L323,10)-(LEFT(I323,4)&amp;"-"&amp;MID(I323,6,2)&amp;"-"&amp;RIGHT(I323,2)),"")</f>
        <v>-197</v>
      </c>
      <c r="O323" t="s">
        <v>2809</v>
      </c>
    </row>
    <row r="324" spans="1:15" x14ac:dyDescent="0.25">
      <c r="A324" t="s">
        <v>1246</v>
      </c>
      <c r="B324" t="s">
        <v>318</v>
      </c>
      <c r="C324" t="s">
        <v>125</v>
      </c>
      <c r="D324" t="s">
        <v>972</v>
      </c>
      <c r="E324" t="s">
        <v>973</v>
      </c>
      <c r="F324" t="s">
        <v>1247</v>
      </c>
      <c r="G324" s="4">
        <f t="shared" si="10"/>
        <v>98.2</v>
      </c>
      <c r="H324" t="s">
        <v>1248</v>
      </c>
      <c r="I324" t="str">
        <f>VLOOKUP(C324,Customers!A:B,2,FALSE)</f>
        <v>2025:08:21</v>
      </c>
      <c r="J324">
        <f>IFERROR(VLOOKUP($A324,Sheet3!$A:$E,2,FALSE),"")</f>
        <v>4</v>
      </c>
      <c r="K324" t="str">
        <f>IFERROR(VLOOKUP($A324,Sheet3!$A:$E,3,FALSE),"")</f>
        <v>1</v>
      </c>
      <c r="L324" t="str">
        <f>IFERROR(VLOOKUP($A324,Sheet3!$A:$E,4,FALSE),"")</f>
        <v>2025-09-12T08:35:10.000Z</v>
      </c>
      <c r="M324" t="str">
        <f>IFERROR(VLOOKUP($A324,Sheet3!$A:$E,5,FALSE),"")</f>
        <v>2026-02-28T13:35:09.000Z</v>
      </c>
      <c r="N324" s="4">
        <f t="shared" si="11"/>
        <v>22</v>
      </c>
      <c r="O324" t="s">
        <v>2808</v>
      </c>
    </row>
    <row r="325" spans="1:15" x14ac:dyDescent="0.25">
      <c r="A325" t="s">
        <v>1249</v>
      </c>
      <c r="B325" t="s">
        <v>318</v>
      </c>
      <c r="C325" t="s">
        <v>125</v>
      </c>
      <c r="D325" t="s">
        <v>972</v>
      </c>
      <c r="E325" t="s">
        <v>973</v>
      </c>
      <c r="F325" t="s">
        <v>1250</v>
      </c>
      <c r="G325" s="4">
        <f t="shared" si="10"/>
        <v>778.3</v>
      </c>
      <c r="H325" t="s">
        <v>1251</v>
      </c>
      <c r="I325" t="str">
        <f>VLOOKUP(C325,Customers!A:B,2,FALSE)</f>
        <v>2025:08:21</v>
      </c>
      <c r="J325" t="str">
        <f>IFERROR(VLOOKUP($A325,Sheet3!$A:$E,2,FALSE),"")</f>
        <v/>
      </c>
      <c r="K325" t="str">
        <f>IFERROR(VLOOKUP($A325,Sheet3!$A:$E,3,FALSE),"")</f>
        <v/>
      </c>
      <c r="L325" t="str">
        <f>IFERROR(VLOOKUP($A325,Sheet3!$A:$E,4,FALSE),"")</f>
        <v/>
      </c>
      <c r="M325" t="str">
        <f>IFERROR(VLOOKUP($A325,Sheet3!$A:$E,5,FALSE),"")</f>
        <v/>
      </c>
      <c r="N325" s="4" t="str">
        <f t="shared" si="11"/>
        <v/>
      </c>
      <c r="O325" t="s">
        <v>2809</v>
      </c>
    </row>
    <row r="326" spans="1:15" x14ac:dyDescent="0.25">
      <c r="A326" t="s">
        <v>1252</v>
      </c>
      <c r="B326" t="s">
        <v>318</v>
      </c>
      <c r="C326" t="s">
        <v>29</v>
      </c>
      <c r="D326" t="s">
        <v>319</v>
      </c>
      <c r="E326" t="s">
        <v>320</v>
      </c>
      <c r="F326" t="s">
        <v>1253</v>
      </c>
      <c r="G326" s="4">
        <f t="shared" si="10"/>
        <v>1003.5333333333333</v>
      </c>
      <c r="H326" t="s">
        <v>1254</v>
      </c>
      <c r="I326" t="str">
        <f>VLOOKUP(C326,Customers!A:B,2,FALSE)</f>
        <v>2023:11:30</v>
      </c>
      <c r="J326">
        <f>IFERROR(VLOOKUP($A326,Sheet3!$A:$E,2,FALSE),"")</f>
        <v>2</v>
      </c>
      <c r="K326" t="str">
        <f>IFERROR(VLOOKUP($A326,Sheet3!$A:$E,3,FALSE),"")</f>
        <v>0</v>
      </c>
      <c r="L326" t="str">
        <f>IFERROR(VLOOKUP($A326,Sheet3!$A:$E,4,FALSE),"")</f>
        <v>2025-12-23T06:29:40.000Z</v>
      </c>
      <c r="M326" t="str">
        <f>IFERROR(VLOOKUP($A326,Sheet3!$A:$E,5,FALSE),"")</f>
        <v>2026-01-05T06:35:23.000Z</v>
      </c>
      <c r="N326" s="4">
        <f t="shared" si="11"/>
        <v>754</v>
      </c>
      <c r="O326" t="s">
        <v>2808</v>
      </c>
    </row>
    <row r="327" spans="1:15" x14ac:dyDescent="0.25">
      <c r="A327" t="s">
        <v>1255</v>
      </c>
      <c r="B327" t="s">
        <v>318</v>
      </c>
      <c r="C327" t="s">
        <v>29</v>
      </c>
      <c r="D327" t="s">
        <v>319</v>
      </c>
      <c r="E327" t="s">
        <v>320</v>
      </c>
      <c r="F327" t="s">
        <v>1256</v>
      </c>
      <c r="G327" s="4">
        <f t="shared" si="10"/>
        <v>598.25</v>
      </c>
      <c r="H327" t="s">
        <v>1257</v>
      </c>
      <c r="I327" t="str">
        <f>VLOOKUP(C327,Customers!A:B,2,FALSE)</f>
        <v>2023:11:30</v>
      </c>
      <c r="J327">
        <f>IFERROR(VLOOKUP($A327,Sheet3!$A:$E,2,FALSE),"")</f>
        <v>25</v>
      </c>
      <c r="K327" t="str">
        <f>IFERROR(VLOOKUP($A327,Sheet3!$A:$E,3,FALSE),"")</f>
        <v>11</v>
      </c>
      <c r="L327" t="str">
        <f>IFERROR(VLOOKUP($A327,Sheet3!$A:$E,4,FALSE),"")</f>
        <v>2025-03-04T06:17:23.000Z</v>
      </c>
      <c r="M327" t="str">
        <f>IFERROR(VLOOKUP($A327,Sheet3!$A:$E,5,FALSE),"")</f>
        <v>2026-04-05T02:56:27.000Z</v>
      </c>
      <c r="N327" s="4">
        <f t="shared" si="11"/>
        <v>460</v>
      </c>
      <c r="O327" t="s">
        <v>2809</v>
      </c>
    </row>
    <row r="328" spans="1:15" x14ac:dyDescent="0.25">
      <c r="A328" t="s">
        <v>1258</v>
      </c>
      <c r="B328" t="s">
        <v>318</v>
      </c>
      <c r="C328" t="s">
        <v>93</v>
      </c>
      <c r="D328" t="s">
        <v>93</v>
      </c>
      <c r="E328" t="s">
        <v>1259</v>
      </c>
      <c r="F328" t="s">
        <v>1260</v>
      </c>
      <c r="G328" s="4">
        <f t="shared" si="10"/>
        <v>870.1</v>
      </c>
      <c r="H328" t="s">
        <v>1261</v>
      </c>
      <c r="I328" t="str">
        <f>VLOOKUP(C328,Customers!A:B,2,FALSE)</f>
        <v>2025:02:13</v>
      </c>
      <c r="J328">
        <f>IFERROR(VLOOKUP($A328,Sheet3!$A:$E,2,FALSE),"")</f>
        <v>5</v>
      </c>
      <c r="K328" t="str">
        <f>IFERROR(VLOOKUP($A328,Sheet3!$A:$E,3,FALSE),"")</f>
        <v>2</v>
      </c>
      <c r="L328" t="str">
        <f>IFERROR(VLOOKUP($A328,Sheet3!$A:$E,4,FALSE),"")</f>
        <v>2025-02-13T09:11:49.000Z</v>
      </c>
      <c r="M328" t="str">
        <f>IFERROR(VLOOKUP($A328,Sheet3!$A:$E,5,FALSE),"")</f>
        <v>2025-09-01T11:49:37.000Z</v>
      </c>
      <c r="N328" s="4">
        <f t="shared" si="11"/>
        <v>0</v>
      </c>
      <c r="O328" t="s">
        <v>2808</v>
      </c>
    </row>
    <row r="329" spans="1:15" x14ac:dyDescent="0.25">
      <c r="A329" t="s">
        <v>1262</v>
      </c>
      <c r="B329" t="s">
        <v>318</v>
      </c>
      <c r="C329" t="s">
        <v>29</v>
      </c>
      <c r="D329" t="s">
        <v>319</v>
      </c>
      <c r="E329" t="s">
        <v>320</v>
      </c>
      <c r="F329" t="s">
        <v>1263</v>
      </c>
      <c r="G329" s="4">
        <f t="shared" si="10"/>
        <v>687.23333333333335</v>
      </c>
      <c r="H329" t="s">
        <v>1264</v>
      </c>
      <c r="I329" t="str">
        <f>VLOOKUP(C329,Customers!A:B,2,FALSE)</f>
        <v>2023:11:30</v>
      </c>
      <c r="J329">
        <f>IFERROR(VLOOKUP($A329,Sheet3!$A:$E,2,FALSE),"")</f>
        <v>35</v>
      </c>
      <c r="K329" t="str">
        <f>IFERROR(VLOOKUP($A329,Sheet3!$A:$E,3,FALSE),"")</f>
        <v>4</v>
      </c>
      <c r="L329" t="str">
        <f>IFERROR(VLOOKUP($A329,Sheet3!$A:$E,4,FALSE),"")</f>
        <v>2025-04-18T05:57:00.000Z</v>
      </c>
      <c r="M329" t="str">
        <f>IFERROR(VLOOKUP($A329,Sheet3!$A:$E,5,FALSE),"")</f>
        <v>2026-05-07T05:55:37.000Z</v>
      </c>
      <c r="N329" s="4">
        <f t="shared" si="11"/>
        <v>505</v>
      </c>
      <c r="O329" t="s">
        <v>2809</v>
      </c>
    </row>
    <row r="330" spans="1:15" x14ac:dyDescent="0.25">
      <c r="A330" t="s">
        <v>1265</v>
      </c>
      <c r="B330" t="s">
        <v>318</v>
      </c>
      <c r="C330" t="s">
        <v>125</v>
      </c>
      <c r="D330" t="s">
        <v>972</v>
      </c>
      <c r="E330" t="s">
        <v>973</v>
      </c>
      <c r="F330" t="s">
        <v>1266</v>
      </c>
      <c r="G330" s="4">
        <f t="shared" si="10"/>
        <v>765.05</v>
      </c>
      <c r="H330" t="s">
        <v>1267</v>
      </c>
      <c r="I330" t="str">
        <f>VLOOKUP(C330,Customers!A:B,2,FALSE)</f>
        <v>2025:08:21</v>
      </c>
      <c r="J330" t="str">
        <f>IFERROR(VLOOKUP($A330,Sheet3!$A:$E,2,FALSE),"")</f>
        <v/>
      </c>
      <c r="K330" t="str">
        <f>IFERROR(VLOOKUP($A330,Sheet3!$A:$E,3,FALSE),"")</f>
        <v/>
      </c>
      <c r="L330" t="str">
        <f>IFERROR(VLOOKUP($A330,Sheet3!$A:$E,4,FALSE),"")</f>
        <v/>
      </c>
      <c r="M330" t="str">
        <f>IFERROR(VLOOKUP($A330,Sheet3!$A:$E,5,FALSE),"")</f>
        <v/>
      </c>
      <c r="N330" s="4" t="str">
        <f t="shared" si="11"/>
        <v/>
      </c>
      <c r="O330" t="s">
        <v>2808</v>
      </c>
    </row>
    <row r="331" spans="1:15" x14ac:dyDescent="0.25">
      <c r="A331" t="s">
        <v>1268</v>
      </c>
      <c r="B331" t="s">
        <v>318</v>
      </c>
      <c r="C331" t="s">
        <v>125</v>
      </c>
      <c r="D331" t="s">
        <v>972</v>
      </c>
      <c r="E331" t="s">
        <v>973</v>
      </c>
      <c r="F331" t="s">
        <v>1269</v>
      </c>
      <c r="G331" s="4">
        <f t="shared" si="10"/>
        <v>1094.8166666666666</v>
      </c>
      <c r="H331" t="s">
        <v>1270</v>
      </c>
      <c r="I331" t="str">
        <f>VLOOKUP(C331,Customers!A:B,2,FALSE)</f>
        <v>2025:08:21</v>
      </c>
      <c r="J331">
        <f>IFERROR(VLOOKUP($A331,Sheet3!$A:$E,2,FALSE),"")</f>
        <v>5</v>
      </c>
      <c r="K331" t="str">
        <f>IFERROR(VLOOKUP($A331,Sheet3!$A:$E,3,FALSE),"")</f>
        <v>1</v>
      </c>
      <c r="L331" t="str">
        <f>IFERROR(VLOOKUP($A331,Sheet3!$A:$E,4,FALSE),"")</f>
        <v>2025-07-22T06:18:06.000Z</v>
      </c>
      <c r="M331" t="str">
        <f>IFERROR(VLOOKUP($A331,Sheet3!$A:$E,5,FALSE),"")</f>
        <v>2025-12-09T08:42:41.000Z</v>
      </c>
      <c r="N331" s="4">
        <f t="shared" si="11"/>
        <v>-30</v>
      </c>
      <c r="O331" t="s">
        <v>2809</v>
      </c>
    </row>
    <row r="332" spans="1:15" x14ac:dyDescent="0.25">
      <c r="A332" t="s">
        <v>1271</v>
      </c>
      <c r="B332" t="s">
        <v>318</v>
      </c>
      <c r="C332" t="s">
        <v>125</v>
      </c>
      <c r="D332" t="s">
        <v>972</v>
      </c>
      <c r="E332" t="s">
        <v>973</v>
      </c>
      <c r="F332" t="s">
        <v>1272</v>
      </c>
      <c r="G332" s="4">
        <f t="shared" si="10"/>
        <v>256.41666666666669</v>
      </c>
      <c r="H332" t="s">
        <v>1273</v>
      </c>
      <c r="I332" t="str">
        <f>VLOOKUP(C332,Customers!A:B,2,FALSE)</f>
        <v>2025:08:21</v>
      </c>
      <c r="J332">
        <f>IFERROR(VLOOKUP($A332,Sheet3!$A:$E,2,FALSE),"")</f>
        <v>2</v>
      </c>
      <c r="K332" t="str">
        <f>IFERROR(VLOOKUP($A332,Sheet3!$A:$E,3,FALSE),"")</f>
        <v>0</v>
      </c>
      <c r="L332" t="str">
        <f>IFERROR(VLOOKUP($A332,Sheet3!$A:$E,4,FALSE),"")</f>
        <v>2025-02-25T09:47:39.000Z</v>
      </c>
      <c r="M332" t="str">
        <f>IFERROR(VLOOKUP($A332,Sheet3!$A:$E,5,FALSE),"")</f>
        <v>2025-04-22T13:42:44.000Z</v>
      </c>
      <c r="N332" s="4">
        <f t="shared" si="11"/>
        <v>-177</v>
      </c>
      <c r="O332" t="s">
        <v>2808</v>
      </c>
    </row>
    <row r="333" spans="1:15" x14ac:dyDescent="0.25">
      <c r="A333" t="s">
        <v>1274</v>
      </c>
      <c r="B333" t="s">
        <v>318</v>
      </c>
      <c r="C333" t="s">
        <v>125</v>
      </c>
      <c r="D333" t="s">
        <v>972</v>
      </c>
      <c r="E333" t="s">
        <v>973</v>
      </c>
      <c r="F333" t="s">
        <v>1275</v>
      </c>
      <c r="G333" s="4">
        <f t="shared" si="10"/>
        <v>15.35</v>
      </c>
      <c r="H333" t="s">
        <v>198</v>
      </c>
      <c r="I333" t="str">
        <f>VLOOKUP(C333,Customers!A:B,2,FALSE)</f>
        <v>2025:08:21</v>
      </c>
      <c r="J333">
        <f>IFERROR(VLOOKUP($A333,Sheet3!$A:$E,2,FALSE),"")</f>
        <v>1</v>
      </c>
      <c r="K333" t="str">
        <f>IFERROR(VLOOKUP($A333,Sheet3!$A:$E,3,FALSE),"")</f>
        <v>0</v>
      </c>
      <c r="L333" t="str">
        <f>IFERROR(VLOOKUP($A333,Sheet3!$A:$E,4,FALSE),"")</f>
        <v>2025-09-29T10:02:29.000Z</v>
      </c>
      <c r="M333" t="str">
        <f>IFERROR(VLOOKUP($A333,Sheet3!$A:$E,5,FALSE),"")</f>
        <v>2025-09-29T10:02:29.000Z</v>
      </c>
      <c r="N333" s="4">
        <f t="shared" si="11"/>
        <v>39</v>
      </c>
      <c r="O333" t="s">
        <v>2809</v>
      </c>
    </row>
    <row r="334" spans="1:15" x14ac:dyDescent="0.25">
      <c r="A334" t="s">
        <v>1276</v>
      </c>
      <c r="B334" t="s">
        <v>318</v>
      </c>
      <c r="C334" t="s">
        <v>127</v>
      </c>
      <c r="D334" t="s">
        <v>1277</v>
      </c>
      <c r="E334" t="s">
        <v>1278</v>
      </c>
      <c r="F334" t="s">
        <v>1279</v>
      </c>
      <c r="G334" s="4">
        <f t="shared" si="10"/>
        <v>1319.2333333333333</v>
      </c>
      <c r="H334" t="s">
        <v>1280</v>
      </c>
      <c r="I334" t="str">
        <f>VLOOKUP(C334,Customers!A:B,2,FALSE)</f>
        <v>2025:08:28</v>
      </c>
      <c r="J334">
        <f>IFERROR(VLOOKUP($A334,Sheet3!$A:$E,2,FALSE),"")</f>
        <v>3</v>
      </c>
      <c r="K334" t="str">
        <f>IFERROR(VLOOKUP($A334,Sheet3!$A:$E,3,FALSE),"")</f>
        <v>2</v>
      </c>
      <c r="L334" t="str">
        <f>IFERROR(VLOOKUP($A334,Sheet3!$A:$E,4,FALSE),"")</f>
        <v>2025-11-21T06:24:52.000Z</v>
      </c>
      <c r="M334" t="str">
        <f>IFERROR(VLOOKUP($A334,Sheet3!$A:$E,5,FALSE),"")</f>
        <v>2026-01-28T08:00:57.000Z</v>
      </c>
      <c r="N334" s="4">
        <f t="shared" si="11"/>
        <v>85</v>
      </c>
      <c r="O334" t="s">
        <v>2808</v>
      </c>
    </row>
    <row r="335" spans="1:15" x14ac:dyDescent="0.25">
      <c r="A335" t="s">
        <v>1281</v>
      </c>
      <c r="B335" t="s">
        <v>318</v>
      </c>
      <c r="C335" t="s">
        <v>29</v>
      </c>
      <c r="D335" t="s">
        <v>319</v>
      </c>
      <c r="E335" t="s">
        <v>320</v>
      </c>
      <c r="F335" t="s">
        <v>1282</v>
      </c>
      <c r="G335" s="4">
        <f t="shared" si="10"/>
        <v>824.9</v>
      </c>
      <c r="H335" t="s">
        <v>1283</v>
      </c>
      <c r="I335" t="str">
        <f>VLOOKUP(C335,Customers!A:B,2,FALSE)</f>
        <v>2023:11:30</v>
      </c>
      <c r="J335">
        <f>IFERROR(VLOOKUP($A335,Sheet3!$A:$E,2,FALSE),"")</f>
        <v>6</v>
      </c>
      <c r="K335" t="str">
        <f>IFERROR(VLOOKUP($A335,Sheet3!$A:$E,3,FALSE),"")</f>
        <v>1</v>
      </c>
      <c r="L335" t="str">
        <f>IFERROR(VLOOKUP($A335,Sheet3!$A:$E,4,FALSE),"")</f>
        <v>2025-05-31T11:12:07.000Z</v>
      </c>
      <c r="M335" t="str">
        <f>IFERROR(VLOOKUP($A335,Sheet3!$A:$E,5,FALSE),"")</f>
        <v>2026-05-05T08:37:25.000Z</v>
      </c>
      <c r="N335" s="4">
        <f t="shared" si="11"/>
        <v>548</v>
      </c>
      <c r="O335" t="s">
        <v>2809</v>
      </c>
    </row>
    <row r="336" spans="1:15" x14ac:dyDescent="0.25">
      <c r="A336" t="s">
        <v>1284</v>
      </c>
      <c r="B336" t="s">
        <v>318</v>
      </c>
      <c r="C336" t="s">
        <v>29</v>
      </c>
      <c r="D336" t="s">
        <v>319</v>
      </c>
      <c r="E336" t="s">
        <v>320</v>
      </c>
      <c r="F336" t="s">
        <v>1285</v>
      </c>
      <c r="G336" s="4">
        <f t="shared" si="10"/>
        <v>300.53333333333336</v>
      </c>
      <c r="H336" t="s">
        <v>1286</v>
      </c>
      <c r="I336" t="str">
        <f>VLOOKUP(C336,Customers!A:B,2,FALSE)</f>
        <v>2023:11:30</v>
      </c>
      <c r="J336">
        <f>IFERROR(VLOOKUP($A336,Sheet3!$A:$E,2,FALSE),"")</f>
        <v>4</v>
      </c>
      <c r="K336" t="str">
        <f>IFERROR(VLOOKUP($A336,Sheet3!$A:$E,3,FALSE),"")</f>
        <v>0</v>
      </c>
      <c r="L336" t="str">
        <f>IFERROR(VLOOKUP($A336,Sheet3!$A:$E,4,FALSE),"")</f>
        <v>2025-07-01T12:05:43.000Z</v>
      </c>
      <c r="M336" t="str">
        <f>IFERROR(VLOOKUP($A336,Sheet3!$A:$E,5,FALSE),"")</f>
        <v>2026-01-09T01:31:17.000Z</v>
      </c>
      <c r="N336" s="4">
        <f t="shared" si="11"/>
        <v>579</v>
      </c>
      <c r="O336" t="s">
        <v>2808</v>
      </c>
    </row>
    <row r="337" spans="1:15" x14ac:dyDescent="0.25">
      <c r="A337" t="s">
        <v>1287</v>
      </c>
      <c r="B337" t="s">
        <v>318</v>
      </c>
      <c r="C337" t="s">
        <v>29</v>
      </c>
      <c r="D337" t="s">
        <v>319</v>
      </c>
      <c r="E337" t="s">
        <v>320</v>
      </c>
      <c r="F337" t="s">
        <v>1288</v>
      </c>
      <c r="G337" s="4">
        <f t="shared" si="10"/>
        <v>104.83333333333333</v>
      </c>
      <c r="H337" t="s">
        <v>1289</v>
      </c>
      <c r="I337" t="str">
        <f>VLOOKUP(C337,Customers!A:B,2,FALSE)</f>
        <v>2023:11:30</v>
      </c>
      <c r="J337">
        <f>IFERROR(VLOOKUP($A337,Sheet3!$A:$E,2,FALSE),"")</f>
        <v>6</v>
      </c>
      <c r="K337" t="str">
        <f>IFERROR(VLOOKUP($A337,Sheet3!$A:$E,3,FALSE),"")</f>
        <v>1</v>
      </c>
      <c r="L337" t="str">
        <f>IFERROR(VLOOKUP($A337,Sheet3!$A:$E,4,FALSE),"")</f>
        <v>2025-07-15T07:03:36.000Z</v>
      </c>
      <c r="M337" t="str">
        <f>IFERROR(VLOOKUP($A337,Sheet3!$A:$E,5,FALSE),"")</f>
        <v>2026-01-12T09:13:58.000Z</v>
      </c>
      <c r="N337" s="4">
        <f t="shared" si="11"/>
        <v>593</v>
      </c>
      <c r="O337" t="s">
        <v>2809</v>
      </c>
    </row>
    <row r="338" spans="1:15" x14ac:dyDescent="0.25">
      <c r="A338" t="s">
        <v>1290</v>
      </c>
      <c r="B338" t="s">
        <v>318</v>
      </c>
      <c r="C338" t="s">
        <v>29</v>
      </c>
      <c r="D338" t="s">
        <v>319</v>
      </c>
      <c r="E338" t="s">
        <v>320</v>
      </c>
      <c r="F338" t="s">
        <v>1291</v>
      </c>
      <c r="G338" s="4">
        <f t="shared" si="10"/>
        <v>39.616666666666667</v>
      </c>
      <c r="H338" t="s">
        <v>1292</v>
      </c>
      <c r="I338" t="str">
        <f>VLOOKUP(C338,Customers!A:B,2,FALSE)</f>
        <v>2023:11:30</v>
      </c>
      <c r="J338">
        <f>IFERROR(VLOOKUP($A338,Sheet3!$A:$E,2,FALSE),"")</f>
        <v>6</v>
      </c>
      <c r="K338" t="str">
        <f>IFERROR(VLOOKUP($A338,Sheet3!$A:$E,3,FALSE),"")</f>
        <v>2</v>
      </c>
      <c r="L338" t="str">
        <f>IFERROR(VLOOKUP($A338,Sheet3!$A:$E,4,FALSE),"")</f>
        <v>2025-03-20T09:25:59.000Z</v>
      </c>
      <c r="M338" t="str">
        <f>IFERROR(VLOOKUP($A338,Sheet3!$A:$E,5,FALSE),"")</f>
        <v>2025-12-08T06:36:45.000Z</v>
      </c>
      <c r="N338" s="4">
        <f t="shared" si="11"/>
        <v>476</v>
      </c>
      <c r="O338" t="s">
        <v>2808</v>
      </c>
    </row>
    <row r="339" spans="1:15" x14ac:dyDescent="0.25">
      <c r="A339" t="s">
        <v>1293</v>
      </c>
      <c r="B339" t="s">
        <v>318</v>
      </c>
      <c r="C339" t="s">
        <v>29</v>
      </c>
      <c r="D339" t="s">
        <v>319</v>
      </c>
      <c r="E339" t="s">
        <v>320</v>
      </c>
      <c r="F339" t="s">
        <v>1294</v>
      </c>
      <c r="G339" s="4">
        <f t="shared" si="10"/>
        <v>1172.1500000000001</v>
      </c>
      <c r="H339" t="s">
        <v>1295</v>
      </c>
      <c r="I339" t="str">
        <f>VLOOKUP(C339,Customers!A:B,2,FALSE)</f>
        <v>2023:11:30</v>
      </c>
      <c r="J339">
        <f>IFERROR(VLOOKUP($A339,Sheet3!$A:$E,2,FALSE),"")</f>
        <v>3</v>
      </c>
      <c r="K339" t="str">
        <f>IFERROR(VLOOKUP($A339,Sheet3!$A:$E,3,FALSE),"")</f>
        <v>1</v>
      </c>
      <c r="L339" t="str">
        <f>IFERROR(VLOOKUP($A339,Sheet3!$A:$E,4,FALSE),"")</f>
        <v>2025-06-27T03:21:53.000Z</v>
      </c>
      <c r="M339" t="str">
        <f>IFERROR(VLOOKUP($A339,Sheet3!$A:$E,5,FALSE),"")</f>
        <v>2026-01-21T13:05:41.000Z</v>
      </c>
      <c r="N339" s="4">
        <f t="shared" si="11"/>
        <v>575</v>
      </c>
      <c r="O339" t="s">
        <v>2809</v>
      </c>
    </row>
    <row r="340" spans="1:15" x14ac:dyDescent="0.25">
      <c r="A340" t="s">
        <v>1296</v>
      </c>
      <c r="B340" t="s">
        <v>318</v>
      </c>
      <c r="C340" t="s">
        <v>29</v>
      </c>
      <c r="D340" t="s">
        <v>319</v>
      </c>
      <c r="E340" t="s">
        <v>320</v>
      </c>
      <c r="F340" t="s">
        <v>1297</v>
      </c>
      <c r="G340" s="4">
        <f t="shared" si="10"/>
        <v>181.48333333333332</v>
      </c>
      <c r="H340" t="s">
        <v>1298</v>
      </c>
      <c r="I340" t="str">
        <f>VLOOKUP(C340,Customers!A:B,2,FALSE)</f>
        <v>2023:11:30</v>
      </c>
      <c r="J340">
        <f>IFERROR(VLOOKUP($A340,Sheet3!$A:$E,2,FALSE),"")</f>
        <v>2</v>
      </c>
      <c r="K340" t="str">
        <f>IFERROR(VLOOKUP($A340,Sheet3!$A:$E,3,FALSE),"")</f>
        <v>0</v>
      </c>
      <c r="L340" t="str">
        <f>IFERROR(VLOOKUP($A340,Sheet3!$A:$E,4,FALSE),"")</f>
        <v>2025-06-14T05:03:43.000Z</v>
      </c>
      <c r="M340" t="str">
        <f>IFERROR(VLOOKUP($A340,Sheet3!$A:$E,5,FALSE),"")</f>
        <v>2025-08-30T05:07:28.000Z</v>
      </c>
      <c r="N340" s="4">
        <f t="shared" si="11"/>
        <v>562</v>
      </c>
      <c r="O340" t="s">
        <v>2808</v>
      </c>
    </row>
    <row r="341" spans="1:15" x14ac:dyDescent="0.25">
      <c r="A341" t="s">
        <v>1299</v>
      </c>
      <c r="B341" t="s">
        <v>318</v>
      </c>
      <c r="C341" t="s">
        <v>29</v>
      </c>
      <c r="D341" t="s">
        <v>319</v>
      </c>
      <c r="E341" t="s">
        <v>320</v>
      </c>
      <c r="F341" t="s">
        <v>1300</v>
      </c>
      <c r="G341" s="4">
        <f t="shared" si="10"/>
        <v>1218.8833333333334</v>
      </c>
      <c r="H341" t="s">
        <v>1301</v>
      </c>
      <c r="I341" t="str">
        <f>VLOOKUP(C341,Customers!A:B,2,FALSE)</f>
        <v>2023:11:30</v>
      </c>
      <c r="J341">
        <f>IFERROR(VLOOKUP($A341,Sheet3!$A:$E,2,FALSE),"")</f>
        <v>23</v>
      </c>
      <c r="K341" t="str">
        <f>IFERROR(VLOOKUP($A341,Sheet3!$A:$E,3,FALSE),"")</f>
        <v>3</v>
      </c>
      <c r="L341" t="str">
        <f>IFERROR(VLOOKUP($A341,Sheet3!$A:$E,4,FALSE),"")</f>
        <v>2025-06-21T05:01:14.000Z</v>
      </c>
      <c r="M341" t="str">
        <f>IFERROR(VLOOKUP($A341,Sheet3!$A:$E,5,FALSE),"")</f>
        <v>2026-04-08T07:18:18.000Z</v>
      </c>
      <c r="N341" s="4">
        <f t="shared" si="11"/>
        <v>569</v>
      </c>
      <c r="O341" t="s">
        <v>2809</v>
      </c>
    </row>
    <row r="342" spans="1:15" x14ac:dyDescent="0.25">
      <c r="A342" t="s">
        <v>1302</v>
      </c>
      <c r="B342" t="s">
        <v>318</v>
      </c>
      <c r="C342" t="s">
        <v>29</v>
      </c>
      <c r="D342" t="s">
        <v>319</v>
      </c>
      <c r="E342" t="s">
        <v>320</v>
      </c>
      <c r="F342" t="s">
        <v>1303</v>
      </c>
      <c r="G342" s="4">
        <f t="shared" si="10"/>
        <v>96.916666666666671</v>
      </c>
      <c r="H342" t="s">
        <v>1304</v>
      </c>
      <c r="I342" t="str">
        <f>VLOOKUP(C342,Customers!A:B,2,FALSE)</f>
        <v>2023:11:30</v>
      </c>
      <c r="J342">
        <f>IFERROR(VLOOKUP($A342,Sheet3!$A:$E,2,FALSE),"")</f>
        <v>1</v>
      </c>
      <c r="K342" t="str">
        <f>IFERROR(VLOOKUP($A342,Sheet3!$A:$E,3,FALSE),"")</f>
        <v>0</v>
      </c>
      <c r="L342" t="str">
        <f>IFERROR(VLOOKUP($A342,Sheet3!$A:$E,4,FALSE),"")</f>
        <v>2025-12-09T04:26:13.000Z</v>
      </c>
      <c r="M342" t="str">
        <f>IFERROR(VLOOKUP($A342,Sheet3!$A:$E,5,FALSE),"")</f>
        <v>2025-12-09T04:26:13.000Z</v>
      </c>
      <c r="N342" s="4">
        <f t="shared" si="11"/>
        <v>740</v>
      </c>
      <c r="O342" t="s">
        <v>2808</v>
      </c>
    </row>
    <row r="343" spans="1:15" x14ac:dyDescent="0.25">
      <c r="A343" t="s">
        <v>1305</v>
      </c>
      <c r="B343" t="s">
        <v>318</v>
      </c>
      <c r="C343" t="s">
        <v>125</v>
      </c>
      <c r="D343" t="s">
        <v>972</v>
      </c>
      <c r="E343" t="s">
        <v>973</v>
      </c>
      <c r="F343" t="s">
        <v>316</v>
      </c>
      <c r="G343" s="4" t="str">
        <f t="shared" si="10"/>
        <v/>
      </c>
      <c r="H343" t="s">
        <v>198</v>
      </c>
      <c r="I343" t="str">
        <f>VLOOKUP(C343,Customers!A:B,2,FALSE)</f>
        <v>2025:08:21</v>
      </c>
      <c r="J343" t="str">
        <f>IFERROR(VLOOKUP($A343,Sheet3!$A:$E,2,FALSE),"")</f>
        <v/>
      </c>
      <c r="K343" t="str">
        <f>IFERROR(VLOOKUP($A343,Sheet3!$A:$E,3,FALSE),"")</f>
        <v/>
      </c>
      <c r="L343" t="str">
        <f>IFERROR(VLOOKUP($A343,Sheet3!$A:$E,4,FALSE),"")</f>
        <v/>
      </c>
      <c r="M343" t="str">
        <f>IFERROR(VLOOKUP($A343,Sheet3!$A:$E,5,FALSE),"")</f>
        <v/>
      </c>
      <c r="N343" s="4" t="str">
        <f t="shared" si="11"/>
        <v/>
      </c>
      <c r="O343" t="s">
        <v>2809</v>
      </c>
    </row>
    <row r="344" spans="1:15" x14ac:dyDescent="0.25">
      <c r="A344" t="s">
        <v>1306</v>
      </c>
      <c r="B344" t="s">
        <v>318</v>
      </c>
      <c r="C344" t="s">
        <v>125</v>
      </c>
      <c r="D344" t="s">
        <v>972</v>
      </c>
      <c r="E344" t="s">
        <v>973</v>
      </c>
      <c r="F344" t="s">
        <v>1307</v>
      </c>
      <c r="G344" s="4">
        <f t="shared" si="10"/>
        <v>1223.0999999999999</v>
      </c>
      <c r="H344" t="s">
        <v>1308</v>
      </c>
      <c r="I344" t="str">
        <f>VLOOKUP(C344,Customers!A:B,2,FALSE)</f>
        <v>2025:08:21</v>
      </c>
      <c r="J344">
        <f>IFERROR(VLOOKUP($A344,Sheet3!$A:$E,2,FALSE),"")</f>
        <v>1</v>
      </c>
      <c r="K344" t="str">
        <f>IFERROR(VLOOKUP($A344,Sheet3!$A:$E,3,FALSE),"")</f>
        <v>0</v>
      </c>
      <c r="L344" t="str">
        <f>IFERROR(VLOOKUP($A344,Sheet3!$A:$E,4,FALSE),"")</f>
        <v>2025-09-01T05:43:56.000Z</v>
      </c>
      <c r="M344" t="str">
        <f>IFERROR(VLOOKUP($A344,Sheet3!$A:$E,5,FALSE),"")</f>
        <v>2025-09-01T05:43:56.000Z</v>
      </c>
      <c r="N344" s="4">
        <f t="shared" si="11"/>
        <v>11</v>
      </c>
      <c r="O344" t="s">
        <v>2808</v>
      </c>
    </row>
    <row r="345" spans="1:15" x14ac:dyDescent="0.25">
      <c r="A345" t="s">
        <v>1309</v>
      </c>
      <c r="B345" t="s">
        <v>318</v>
      </c>
      <c r="C345" t="s">
        <v>125</v>
      </c>
      <c r="D345" t="s">
        <v>972</v>
      </c>
      <c r="E345" t="s">
        <v>973</v>
      </c>
      <c r="F345" t="s">
        <v>1310</v>
      </c>
      <c r="G345" s="4">
        <f t="shared" si="10"/>
        <v>240.51666666666668</v>
      </c>
      <c r="H345" t="s">
        <v>1311</v>
      </c>
      <c r="I345" t="str">
        <f>VLOOKUP(C345,Customers!A:B,2,FALSE)</f>
        <v>2025:08:21</v>
      </c>
      <c r="J345">
        <f>IFERROR(VLOOKUP($A345,Sheet3!$A:$E,2,FALSE),"")</f>
        <v>16</v>
      </c>
      <c r="K345" t="str">
        <f>IFERROR(VLOOKUP($A345,Sheet3!$A:$E,3,FALSE),"")</f>
        <v>3</v>
      </c>
      <c r="L345" t="str">
        <f>IFERROR(VLOOKUP($A345,Sheet3!$A:$E,4,FALSE),"")</f>
        <v>2025-07-05T08:57:17.000Z</v>
      </c>
      <c r="M345" t="str">
        <f>IFERROR(VLOOKUP($A345,Sheet3!$A:$E,5,FALSE),"")</f>
        <v>2026-03-17T07:37:20.000Z</v>
      </c>
      <c r="N345" s="4">
        <f t="shared" si="11"/>
        <v>-47</v>
      </c>
      <c r="O345" t="s">
        <v>2809</v>
      </c>
    </row>
    <row r="346" spans="1:15" x14ac:dyDescent="0.25">
      <c r="A346" t="s">
        <v>1312</v>
      </c>
      <c r="B346" t="s">
        <v>1313</v>
      </c>
      <c r="C346" t="s">
        <v>76</v>
      </c>
      <c r="D346" t="s">
        <v>1314</v>
      </c>
      <c r="E346" t="s">
        <v>1315</v>
      </c>
      <c r="F346" t="s">
        <v>1316</v>
      </c>
      <c r="G346" s="4">
        <f t="shared" si="10"/>
        <v>755.31666666666672</v>
      </c>
      <c r="H346" t="s">
        <v>1317</v>
      </c>
      <c r="I346" t="str">
        <f>VLOOKUP(C346,Customers!A:B,2,FALSE)</f>
        <v>2024:08:16</v>
      </c>
      <c r="J346">
        <f>IFERROR(VLOOKUP($A346,Sheet3!$A:$E,2,FALSE),"")</f>
        <v>2</v>
      </c>
      <c r="K346" t="str">
        <f>IFERROR(VLOOKUP($A346,Sheet3!$A:$E,3,FALSE),"")</f>
        <v>1</v>
      </c>
      <c r="L346" t="str">
        <f>IFERROR(VLOOKUP($A346,Sheet3!$A:$E,4,FALSE),"")</f>
        <v>2025-09-09T06:37:39.000Z</v>
      </c>
      <c r="M346" t="str">
        <f>IFERROR(VLOOKUP($A346,Sheet3!$A:$E,5,FALSE),"")</f>
        <v>2025-09-11T05:44:59.000Z</v>
      </c>
      <c r="N346" s="4">
        <f t="shared" si="11"/>
        <v>389</v>
      </c>
      <c r="O346" t="s">
        <v>2808</v>
      </c>
    </row>
    <row r="347" spans="1:15" x14ac:dyDescent="0.25">
      <c r="A347" t="s">
        <v>1318</v>
      </c>
      <c r="B347" t="s">
        <v>1313</v>
      </c>
      <c r="C347" t="s">
        <v>76</v>
      </c>
      <c r="D347" t="s">
        <v>1314</v>
      </c>
      <c r="E347" t="s">
        <v>1315</v>
      </c>
      <c r="F347" t="s">
        <v>1319</v>
      </c>
      <c r="G347" s="4">
        <f t="shared" si="10"/>
        <v>1136.3</v>
      </c>
      <c r="H347" t="s">
        <v>1320</v>
      </c>
      <c r="I347" t="str">
        <f>VLOOKUP(C347,Customers!A:B,2,FALSE)</f>
        <v>2024:08:16</v>
      </c>
      <c r="J347">
        <f>IFERROR(VLOOKUP($A347,Sheet3!$A:$E,2,FALSE),"")</f>
        <v>4</v>
      </c>
      <c r="K347" t="str">
        <f>IFERROR(VLOOKUP($A347,Sheet3!$A:$E,3,FALSE),"")</f>
        <v>1</v>
      </c>
      <c r="L347" t="str">
        <f>IFERROR(VLOOKUP($A347,Sheet3!$A:$E,4,FALSE),"")</f>
        <v>2025-08-16T12:49:02.000Z</v>
      </c>
      <c r="M347" t="str">
        <f>IFERROR(VLOOKUP($A347,Sheet3!$A:$E,5,FALSE),"")</f>
        <v>2025-09-21T10:51:15.000Z</v>
      </c>
      <c r="N347" s="4">
        <f t="shared" si="11"/>
        <v>365</v>
      </c>
      <c r="O347" t="s">
        <v>2809</v>
      </c>
    </row>
    <row r="348" spans="1:15" x14ac:dyDescent="0.25">
      <c r="A348" t="s">
        <v>1321</v>
      </c>
      <c r="B348" t="s">
        <v>1313</v>
      </c>
      <c r="C348" t="s">
        <v>131</v>
      </c>
      <c r="D348" t="s">
        <v>1322</v>
      </c>
      <c r="E348" t="s">
        <v>1323</v>
      </c>
      <c r="F348" t="s">
        <v>1324</v>
      </c>
      <c r="G348" s="4">
        <f t="shared" si="10"/>
        <v>595.25</v>
      </c>
      <c r="H348" t="s">
        <v>1325</v>
      </c>
      <c r="I348" t="str">
        <f>VLOOKUP(C348,Customers!A:B,2,FALSE)</f>
        <v>2025:09:16</v>
      </c>
      <c r="J348">
        <f>IFERROR(VLOOKUP($A348,Sheet3!$A:$E,2,FALSE),"")</f>
        <v>17</v>
      </c>
      <c r="K348" t="str">
        <f>IFERROR(VLOOKUP($A348,Sheet3!$A:$E,3,FALSE),"")</f>
        <v>2</v>
      </c>
      <c r="L348" t="str">
        <f>IFERROR(VLOOKUP($A348,Sheet3!$A:$E,4,FALSE),"")</f>
        <v>2025-05-29T10:03:26.000Z</v>
      </c>
      <c r="M348" t="str">
        <f>IFERROR(VLOOKUP($A348,Sheet3!$A:$E,5,FALSE),"")</f>
        <v>2026-04-07T04:52:50.000Z</v>
      </c>
      <c r="N348" s="4">
        <f t="shared" si="11"/>
        <v>-110</v>
      </c>
      <c r="O348" t="s">
        <v>2808</v>
      </c>
    </row>
    <row r="349" spans="1:15" x14ac:dyDescent="0.25">
      <c r="A349" t="s">
        <v>1326</v>
      </c>
      <c r="B349" t="s">
        <v>1313</v>
      </c>
      <c r="C349" t="s">
        <v>133</v>
      </c>
      <c r="D349" t="s">
        <v>133</v>
      </c>
      <c r="E349" t="s">
        <v>1327</v>
      </c>
      <c r="F349" t="s">
        <v>1328</v>
      </c>
      <c r="G349" s="4">
        <f t="shared" si="10"/>
        <v>240</v>
      </c>
      <c r="H349" t="s">
        <v>1329</v>
      </c>
      <c r="I349" t="str">
        <f>VLOOKUP(C349,Customers!A:B,2,FALSE)</f>
        <v>2025:09:16</v>
      </c>
      <c r="J349" t="str">
        <f>IFERROR(VLOOKUP($A349,Sheet3!$A:$E,2,FALSE),"")</f>
        <v/>
      </c>
      <c r="K349" t="str">
        <f>IFERROR(VLOOKUP($A349,Sheet3!$A:$E,3,FALSE),"")</f>
        <v/>
      </c>
      <c r="L349" t="str">
        <f>IFERROR(VLOOKUP($A349,Sheet3!$A:$E,4,FALSE),"")</f>
        <v/>
      </c>
      <c r="M349" t="str">
        <f>IFERROR(VLOOKUP($A349,Sheet3!$A:$E,5,FALSE),"")</f>
        <v/>
      </c>
      <c r="N349" s="4" t="str">
        <f t="shared" si="11"/>
        <v/>
      </c>
      <c r="O349" t="s">
        <v>2809</v>
      </c>
    </row>
    <row r="350" spans="1:15" x14ac:dyDescent="0.25">
      <c r="A350" t="s">
        <v>1330</v>
      </c>
      <c r="B350" t="s">
        <v>1313</v>
      </c>
      <c r="C350" t="s">
        <v>123</v>
      </c>
      <c r="D350" t="s">
        <v>283</v>
      </c>
      <c r="E350" t="s">
        <v>1331</v>
      </c>
      <c r="F350" t="s">
        <v>1332</v>
      </c>
      <c r="G350" s="4">
        <f t="shared" si="10"/>
        <v>1215.5833333333333</v>
      </c>
      <c r="H350" t="s">
        <v>1333</v>
      </c>
      <c r="I350" t="str">
        <f>VLOOKUP(C350,Customers!A:B,2,FALSE)</f>
        <v>2025:08:19</v>
      </c>
      <c r="J350">
        <f>IFERROR(VLOOKUP($A350,Sheet3!$A:$E,2,FALSE),"")</f>
        <v>5</v>
      </c>
      <c r="K350" t="str">
        <f>IFERROR(VLOOKUP($A350,Sheet3!$A:$E,3,FALSE),"")</f>
        <v>1</v>
      </c>
      <c r="L350" t="str">
        <f>IFERROR(VLOOKUP($A350,Sheet3!$A:$E,4,FALSE),"")</f>
        <v>2025-05-30T06:05:23.000Z</v>
      </c>
      <c r="M350" t="str">
        <f>IFERROR(VLOOKUP($A350,Sheet3!$A:$E,5,FALSE),"")</f>
        <v>2025-09-28T08:57:09.000Z</v>
      </c>
      <c r="N350" s="4">
        <f t="shared" si="11"/>
        <v>-81</v>
      </c>
      <c r="O350" t="s">
        <v>2808</v>
      </c>
    </row>
    <row r="351" spans="1:15" x14ac:dyDescent="0.25">
      <c r="A351" t="s">
        <v>1334</v>
      </c>
      <c r="B351" t="s">
        <v>1313</v>
      </c>
      <c r="C351" t="s">
        <v>125</v>
      </c>
      <c r="D351" t="s">
        <v>972</v>
      </c>
      <c r="E351" t="s">
        <v>973</v>
      </c>
      <c r="F351" t="s">
        <v>1335</v>
      </c>
      <c r="G351" s="4">
        <f t="shared" si="10"/>
        <v>1015.7</v>
      </c>
      <c r="H351" t="s">
        <v>1336</v>
      </c>
      <c r="I351" t="str">
        <f>VLOOKUP(C351,Customers!A:B,2,FALSE)</f>
        <v>2025:08:21</v>
      </c>
      <c r="J351">
        <f>IFERROR(VLOOKUP($A351,Sheet3!$A:$E,2,FALSE),"")</f>
        <v>4</v>
      </c>
      <c r="K351" t="str">
        <f>IFERROR(VLOOKUP($A351,Sheet3!$A:$E,3,FALSE),"")</f>
        <v>1</v>
      </c>
      <c r="L351" t="str">
        <f>IFERROR(VLOOKUP($A351,Sheet3!$A:$E,4,FALSE),"")</f>
        <v>2025-10-03T05:50:51.000Z</v>
      </c>
      <c r="M351" t="str">
        <f>IFERROR(VLOOKUP($A351,Sheet3!$A:$E,5,FALSE),"")</f>
        <v>2026-04-23T03:32:16.000Z</v>
      </c>
      <c r="N351" s="4">
        <f t="shared" si="11"/>
        <v>43</v>
      </c>
      <c r="O351" t="s">
        <v>2809</v>
      </c>
    </row>
    <row r="352" spans="1:15" x14ac:dyDescent="0.25">
      <c r="A352" t="s">
        <v>1337</v>
      </c>
      <c r="B352" t="s">
        <v>1313</v>
      </c>
      <c r="C352" t="s">
        <v>125</v>
      </c>
      <c r="D352" t="s">
        <v>972</v>
      </c>
      <c r="E352" t="s">
        <v>973</v>
      </c>
      <c r="F352" t="s">
        <v>1338</v>
      </c>
      <c r="G352" s="4">
        <f t="shared" si="10"/>
        <v>1230.8666666666666</v>
      </c>
      <c r="H352" t="s">
        <v>1339</v>
      </c>
      <c r="I352" t="str">
        <f>VLOOKUP(C352,Customers!A:B,2,FALSE)</f>
        <v>2025:08:21</v>
      </c>
      <c r="J352">
        <f>IFERROR(VLOOKUP($A352,Sheet3!$A:$E,2,FALSE),"")</f>
        <v>9</v>
      </c>
      <c r="K352" t="str">
        <f>IFERROR(VLOOKUP($A352,Sheet3!$A:$E,3,FALSE),"")</f>
        <v>2</v>
      </c>
      <c r="L352" t="str">
        <f>IFERROR(VLOOKUP($A352,Sheet3!$A:$E,4,FALSE),"")</f>
        <v>2025-07-03T11:10:07.000Z</v>
      </c>
      <c r="M352" t="str">
        <f>IFERROR(VLOOKUP($A352,Sheet3!$A:$E,5,FALSE),"")</f>
        <v>2026-04-27T03:51:58.000Z</v>
      </c>
      <c r="N352" s="4">
        <f t="shared" si="11"/>
        <v>-49</v>
      </c>
      <c r="O352" t="s">
        <v>2808</v>
      </c>
    </row>
    <row r="353" spans="1:15" x14ac:dyDescent="0.25">
      <c r="A353" t="s">
        <v>1340</v>
      </c>
      <c r="B353" t="s">
        <v>1313</v>
      </c>
      <c r="C353" t="s">
        <v>76</v>
      </c>
      <c r="D353" t="s">
        <v>1314</v>
      </c>
      <c r="E353" t="s">
        <v>1315</v>
      </c>
      <c r="F353" t="s">
        <v>1341</v>
      </c>
      <c r="G353" s="4">
        <f t="shared" si="10"/>
        <v>272.96666666666664</v>
      </c>
      <c r="H353" t="s">
        <v>1342</v>
      </c>
      <c r="I353" t="str">
        <f>VLOOKUP(C353,Customers!A:B,2,FALSE)</f>
        <v>2024:08:16</v>
      </c>
      <c r="J353">
        <f>IFERROR(VLOOKUP($A353,Sheet3!$A:$E,2,FALSE),"")</f>
        <v>11</v>
      </c>
      <c r="K353" t="str">
        <f>IFERROR(VLOOKUP($A353,Sheet3!$A:$E,3,FALSE),"")</f>
        <v>0</v>
      </c>
      <c r="L353" t="str">
        <f>IFERROR(VLOOKUP($A353,Sheet3!$A:$E,4,FALSE),"")</f>
        <v>2025-04-23T10:18:06.000Z</v>
      </c>
      <c r="M353" t="str">
        <f>IFERROR(VLOOKUP($A353,Sheet3!$A:$E,5,FALSE),"")</f>
        <v>2025-12-19T04:23:38.000Z</v>
      </c>
      <c r="N353" s="4">
        <f t="shared" si="11"/>
        <v>250</v>
      </c>
      <c r="O353" t="s">
        <v>2809</v>
      </c>
    </row>
    <row r="354" spans="1:15" x14ac:dyDescent="0.25">
      <c r="A354" t="s">
        <v>1343</v>
      </c>
      <c r="B354" t="s">
        <v>1313</v>
      </c>
      <c r="C354" t="s">
        <v>76</v>
      </c>
      <c r="D354" t="s">
        <v>1314</v>
      </c>
      <c r="E354" t="s">
        <v>1315</v>
      </c>
      <c r="F354" t="s">
        <v>1344</v>
      </c>
      <c r="G354" s="4">
        <f t="shared" si="10"/>
        <v>1063.0333333333333</v>
      </c>
      <c r="H354" t="s">
        <v>1345</v>
      </c>
      <c r="I354" t="str">
        <f>VLOOKUP(C354,Customers!A:B,2,FALSE)</f>
        <v>2024:08:16</v>
      </c>
      <c r="J354">
        <f>IFERROR(VLOOKUP($A354,Sheet3!$A:$E,2,FALSE),"")</f>
        <v>6</v>
      </c>
      <c r="K354" t="str">
        <f>IFERROR(VLOOKUP($A354,Sheet3!$A:$E,3,FALSE),"")</f>
        <v>2</v>
      </c>
      <c r="L354" t="str">
        <f>IFERROR(VLOOKUP($A354,Sheet3!$A:$E,4,FALSE),"")</f>
        <v>2025-08-03T16:11:33.000Z</v>
      </c>
      <c r="M354" t="str">
        <f>IFERROR(VLOOKUP($A354,Sheet3!$A:$E,5,FALSE),"")</f>
        <v>2025-12-19T04:26:32.000Z</v>
      </c>
      <c r="N354" s="4">
        <f t="shared" si="11"/>
        <v>352</v>
      </c>
      <c r="O354" t="s">
        <v>2808</v>
      </c>
    </row>
    <row r="355" spans="1:15" x14ac:dyDescent="0.25">
      <c r="A355" t="s">
        <v>1346</v>
      </c>
      <c r="B355" t="s">
        <v>1313</v>
      </c>
      <c r="C355" t="s">
        <v>76</v>
      </c>
      <c r="D355" t="s">
        <v>1314</v>
      </c>
      <c r="E355" t="s">
        <v>1315</v>
      </c>
      <c r="F355" t="s">
        <v>1347</v>
      </c>
      <c r="G355" s="4">
        <f t="shared" si="10"/>
        <v>1046.2333333333333</v>
      </c>
      <c r="H355" t="s">
        <v>1348</v>
      </c>
      <c r="I355" t="str">
        <f>VLOOKUP(C355,Customers!A:B,2,FALSE)</f>
        <v>2024:08:16</v>
      </c>
      <c r="J355">
        <f>IFERROR(VLOOKUP($A355,Sheet3!$A:$E,2,FALSE),"")</f>
        <v>4</v>
      </c>
      <c r="K355" t="str">
        <f>IFERROR(VLOOKUP($A355,Sheet3!$A:$E,3,FALSE),"")</f>
        <v>1</v>
      </c>
      <c r="L355" t="str">
        <f>IFERROR(VLOOKUP($A355,Sheet3!$A:$E,4,FALSE),"")</f>
        <v>2025-08-29T05:39:00.000Z</v>
      </c>
      <c r="M355" t="str">
        <f>IFERROR(VLOOKUP($A355,Sheet3!$A:$E,5,FALSE),"")</f>
        <v>2026-02-16T10:07:55.000Z</v>
      </c>
      <c r="N355" s="4">
        <f t="shared" si="11"/>
        <v>378</v>
      </c>
      <c r="O355" t="s">
        <v>2809</v>
      </c>
    </row>
    <row r="356" spans="1:15" x14ac:dyDescent="0.25">
      <c r="A356" t="s">
        <v>1349</v>
      </c>
      <c r="B356" t="s">
        <v>1313</v>
      </c>
      <c r="C356" t="s">
        <v>134</v>
      </c>
      <c r="D356" t="s">
        <v>1350</v>
      </c>
      <c r="E356" t="s">
        <v>1351</v>
      </c>
      <c r="F356" t="s">
        <v>1352</v>
      </c>
      <c r="G356" s="4">
        <f t="shared" si="10"/>
        <v>84.266666666666666</v>
      </c>
      <c r="H356" t="s">
        <v>1353</v>
      </c>
      <c r="I356" t="str">
        <f>VLOOKUP(C356,Customers!A:B,2,FALSE)</f>
        <v>2025:09:16</v>
      </c>
      <c r="J356" t="str">
        <f>IFERROR(VLOOKUP($A356,Sheet3!$A:$E,2,FALSE),"")</f>
        <v/>
      </c>
      <c r="K356" t="str">
        <f>IFERROR(VLOOKUP($A356,Sheet3!$A:$E,3,FALSE),"")</f>
        <v/>
      </c>
      <c r="L356" t="str">
        <f>IFERROR(VLOOKUP($A356,Sheet3!$A:$E,4,FALSE),"")</f>
        <v/>
      </c>
      <c r="M356" t="str">
        <f>IFERROR(VLOOKUP($A356,Sheet3!$A:$E,5,FALSE),"")</f>
        <v/>
      </c>
      <c r="N356" s="4" t="str">
        <f t="shared" si="11"/>
        <v/>
      </c>
      <c r="O356" t="s">
        <v>2808</v>
      </c>
    </row>
    <row r="357" spans="1:15" x14ac:dyDescent="0.25">
      <c r="A357" t="s">
        <v>1354</v>
      </c>
      <c r="B357" t="s">
        <v>1313</v>
      </c>
      <c r="C357" t="s">
        <v>125</v>
      </c>
      <c r="D357" t="s">
        <v>972</v>
      </c>
      <c r="E357" t="s">
        <v>973</v>
      </c>
      <c r="F357" t="s">
        <v>1355</v>
      </c>
      <c r="G357" s="4">
        <f t="shared" si="10"/>
        <v>159.28333333333333</v>
      </c>
      <c r="H357" t="s">
        <v>1356</v>
      </c>
      <c r="I357" t="str">
        <f>VLOOKUP(C357,Customers!A:B,2,FALSE)</f>
        <v>2025:08:21</v>
      </c>
      <c r="J357">
        <f>IFERROR(VLOOKUP($A357,Sheet3!$A:$E,2,FALSE),"")</f>
        <v>14</v>
      </c>
      <c r="K357" t="str">
        <f>IFERROR(VLOOKUP($A357,Sheet3!$A:$E,3,FALSE),"")</f>
        <v>4</v>
      </c>
      <c r="L357" t="str">
        <f>IFERROR(VLOOKUP($A357,Sheet3!$A:$E,4,FALSE),"")</f>
        <v>2025-07-09T04:03:27.000Z</v>
      </c>
      <c r="M357" t="str">
        <f>IFERROR(VLOOKUP($A357,Sheet3!$A:$E,5,FALSE),"")</f>
        <v>2025-10-17T11:07:57.000Z</v>
      </c>
      <c r="N357" s="4">
        <f t="shared" si="11"/>
        <v>-43</v>
      </c>
      <c r="O357" t="s">
        <v>2809</v>
      </c>
    </row>
    <row r="358" spans="1:15" x14ac:dyDescent="0.25">
      <c r="A358" t="s">
        <v>1357</v>
      </c>
      <c r="B358" t="s">
        <v>1313</v>
      </c>
      <c r="C358" t="s">
        <v>76</v>
      </c>
      <c r="D358" t="s">
        <v>1314</v>
      </c>
      <c r="E358" t="s">
        <v>1315</v>
      </c>
      <c r="F358" t="s">
        <v>1358</v>
      </c>
      <c r="G358" s="4">
        <f t="shared" si="10"/>
        <v>910.61666666666667</v>
      </c>
      <c r="H358" t="s">
        <v>1359</v>
      </c>
      <c r="I358" t="str">
        <f>VLOOKUP(C358,Customers!A:B,2,FALSE)</f>
        <v>2024:08:16</v>
      </c>
      <c r="J358">
        <f>IFERROR(VLOOKUP($A358,Sheet3!$A:$E,2,FALSE),"")</f>
        <v>18</v>
      </c>
      <c r="K358" t="str">
        <f>IFERROR(VLOOKUP($A358,Sheet3!$A:$E,3,FALSE),"")</f>
        <v>4</v>
      </c>
      <c r="L358" t="str">
        <f>IFERROR(VLOOKUP($A358,Sheet3!$A:$E,4,FALSE),"")</f>
        <v>2025-07-24T08:01:17.000Z</v>
      </c>
      <c r="M358" t="str">
        <f>IFERROR(VLOOKUP($A358,Sheet3!$A:$E,5,FALSE),"")</f>
        <v>2025-12-18T07:13:44.000Z</v>
      </c>
      <c r="N358" s="4">
        <f t="shared" si="11"/>
        <v>342</v>
      </c>
      <c r="O358" t="s">
        <v>2808</v>
      </c>
    </row>
    <row r="359" spans="1:15" x14ac:dyDescent="0.25">
      <c r="A359" t="s">
        <v>1360</v>
      </c>
      <c r="B359" t="s">
        <v>1313</v>
      </c>
      <c r="C359" t="s">
        <v>76</v>
      </c>
      <c r="D359" t="s">
        <v>1314</v>
      </c>
      <c r="E359" t="s">
        <v>1315</v>
      </c>
      <c r="F359" t="s">
        <v>1361</v>
      </c>
      <c r="G359" s="4">
        <f t="shared" si="10"/>
        <v>216.08333333333334</v>
      </c>
      <c r="H359" t="s">
        <v>198</v>
      </c>
      <c r="I359" t="str">
        <f>VLOOKUP(C359,Customers!A:B,2,FALSE)</f>
        <v>2024:08:16</v>
      </c>
      <c r="J359">
        <f>IFERROR(VLOOKUP($A359,Sheet3!$A:$E,2,FALSE),"")</f>
        <v>12</v>
      </c>
      <c r="K359" t="str">
        <f>IFERROR(VLOOKUP($A359,Sheet3!$A:$E,3,FALSE),"")</f>
        <v>4</v>
      </c>
      <c r="L359" t="str">
        <f>IFERROR(VLOOKUP($A359,Sheet3!$A:$E,4,FALSE),"")</f>
        <v>2025-04-06T07:59:36.000Z</v>
      </c>
      <c r="M359" t="str">
        <f>IFERROR(VLOOKUP($A359,Sheet3!$A:$E,5,FALSE),"")</f>
        <v>2026-02-14T03:27:16.000Z</v>
      </c>
      <c r="N359" s="4">
        <f t="shared" si="11"/>
        <v>233</v>
      </c>
      <c r="O359" t="s">
        <v>2809</v>
      </c>
    </row>
    <row r="360" spans="1:15" x14ac:dyDescent="0.25">
      <c r="A360" t="s">
        <v>1362</v>
      </c>
      <c r="B360" t="s">
        <v>1313</v>
      </c>
      <c r="C360" t="s">
        <v>125</v>
      </c>
      <c r="D360" t="s">
        <v>972</v>
      </c>
      <c r="E360" t="s">
        <v>973</v>
      </c>
      <c r="F360" t="s">
        <v>1363</v>
      </c>
      <c r="G360" s="4">
        <f t="shared" si="10"/>
        <v>675.95</v>
      </c>
      <c r="H360" t="s">
        <v>1364</v>
      </c>
      <c r="I360" t="str">
        <f>VLOOKUP(C360,Customers!A:B,2,FALSE)</f>
        <v>2025:08:21</v>
      </c>
      <c r="J360">
        <f>IFERROR(VLOOKUP($A360,Sheet3!$A:$E,2,FALSE),"")</f>
        <v>8</v>
      </c>
      <c r="K360" t="str">
        <f>IFERROR(VLOOKUP($A360,Sheet3!$A:$E,3,FALSE),"")</f>
        <v>1</v>
      </c>
      <c r="L360" t="str">
        <f>IFERROR(VLOOKUP($A360,Sheet3!$A:$E,4,FALSE),"")</f>
        <v>2025-08-06T09:02:44.000Z</v>
      </c>
      <c r="M360" t="str">
        <f>IFERROR(VLOOKUP($A360,Sheet3!$A:$E,5,FALSE),"")</f>
        <v>2026-04-15T06:44:46.000Z</v>
      </c>
      <c r="N360" s="4">
        <f t="shared" si="11"/>
        <v>-15</v>
      </c>
      <c r="O360" t="s">
        <v>2808</v>
      </c>
    </row>
    <row r="361" spans="1:15" x14ac:dyDescent="0.25">
      <c r="A361" t="s">
        <v>1365</v>
      </c>
      <c r="B361" t="s">
        <v>1313</v>
      </c>
      <c r="C361" t="s">
        <v>125</v>
      </c>
      <c r="D361" t="s">
        <v>972</v>
      </c>
      <c r="E361" t="s">
        <v>973</v>
      </c>
      <c r="F361" t="s">
        <v>1366</v>
      </c>
      <c r="G361" s="4">
        <f t="shared" si="10"/>
        <v>1280.2166666666667</v>
      </c>
      <c r="H361" t="s">
        <v>1367</v>
      </c>
      <c r="I361" t="str">
        <f>VLOOKUP(C361,Customers!A:B,2,FALSE)</f>
        <v>2025:08:21</v>
      </c>
      <c r="J361">
        <f>IFERROR(VLOOKUP($A361,Sheet3!$A:$E,2,FALSE),"")</f>
        <v>10</v>
      </c>
      <c r="K361" t="str">
        <f>IFERROR(VLOOKUP($A361,Sheet3!$A:$E,3,FALSE),"")</f>
        <v>2</v>
      </c>
      <c r="L361" t="str">
        <f>IFERROR(VLOOKUP($A361,Sheet3!$A:$E,4,FALSE),"")</f>
        <v>2025-09-13T11:35:58.000Z</v>
      </c>
      <c r="M361" t="str">
        <f>IFERROR(VLOOKUP($A361,Sheet3!$A:$E,5,FALSE),"")</f>
        <v>2026-04-22T05:19:54.000Z</v>
      </c>
      <c r="N361" s="4">
        <f t="shared" si="11"/>
        <v>23</v>
      </c>
      <c r="O361" t="s">
        <v>2809</v>
      </c>
    </row>
    <row r="362" spans="1:15" x14ac:dyDescent="0.25">
      <c r="A362" t="s">
        <v>1368</v>
      </c>
      <c r="B362" t="s">
        <v>1313</v>
      </c>
      <c r="C362" t="s">
        <v>76</v>
      </c>
      <c r="D362" t="s">
        <v>1314</v>
      </c>
      <c r="E362" t="s">
        <v>1315</v>
      </c>
      <c r="F362" t="s">
        <v>1369</v>
      </c>
      <c r="G362" s="4">
        <f t="shared" si="10"/>
        <v>1386.4</v>
      </c>
      <c r="H362" t="s">
        <v>1370</v>
      </c>
      <c r="I362" t="str">
        <f>VLOOKUP(C362,Customers!A:B,2,FALSE)</f>
        <v>2024:08:16</v>
      </c>
      <c r="J362">
        <f>IFERROR(VLOOKUP($A362,Sheet3!$A:$E,2,FALSE),"")</f>
        <v>17</v>
      </c>
      <c r="K362" t="str">
        <f>IFERROR(VLOOKUP($A362,Sheet3!$A:$E,3,FALSE),"")</f>
        <v>8</v>
      </c>
      <c r="L362" t="str">
        <f>IFERROR(VLOOKUP($A362,Sheet3!$A:$E,4,FALSE),"")</f>
        <v>2025-04-03T06:07:36.000Z</v>
      </c>
      <c r="M362" t="str">
        <f>IFERROR(VLOOKUP($A362,Sheet3!$A:$E,5,FALSE),"")</f>
        <v>2026-04-27T07:36:16.000Z</v>
      </c>
      <c r="N362" s="4">
        <f t="shared" si="11"/>
        <v>230</v>
      </c>
      <c r="O362" t="s">
        <v>2808</v>
      </c>
    </row>
    <row r="363" spans="1:15" x14ac:dyDescent="0.25">
      <c r="A363" t="s">
        <v>1371</v>
      </c>
      <c r="B363" t="s">
        <v>1313</v>
      </c>
      <c r="C363" t="s">
        <v>76</v>
      </c>
      <c r="D363" t="s">
        <v>1314</v>
      </c>
      <c r="E363" t="s">
        <v>1315</v>
      </c>
      <c r="F363" t="s">
        <v>1372</v>
      </c>
      <c r="G363" s="4">
        <f t="shared" si="10"/>
        <v>1287.0833333333333</v>
      </c>
      <c r="H363" t="s">
        <v>1373</v>
      </c>
      <c r="I363" t="str">
        <f>VLOOKUP(C363,Customers!A:B,2,FALSE)</f>
        <v>2024:08:16</v>
      </c>
      <c r="J363">
        <f>IFERROR(VLOOKUP($A363,Sheet3!$A:$E,2,FALSE),"")</f>
        <v>5</v>
      </c>
      <c r="K363" t="str">
        <f>IFERROR(VLOOKUP($A363,Sheet3!$A:$E,3,FALSE),"")</f>
        <v>0</v>
      </c>
      <c r="L363" t="str">
        <f>IFERROR(VLOOKUP($A363,Sheet3!$A:$E,4,FALSE),"")</f>
        <v>2025-10-20T04:36:58.000Z</v>
      </c>
      <c r="M363" t="str">
        <f>IFERROR(VLOOKUP($A363,Sheet3!$A:$E,5,FALSE),"")</f>
        <v>2025-12-29T09:43:46.000Z</v>
      </c>
      <c r="N363" s="4">
        <f t="shared" si="11"/>
        <v>430</v>
      </c>
      <c r="O363" t="s">
        <v>2809</v>
      </c>
    </row>
    <row r="364" spans="1:15" x14ac:dyDescent="0.25">
      <c r="A364" t="s">
        <v>1374</v>
      </c>
      <c r="B364" t="s">
        <v>1313</v>
      </c>
      <c r="C364" t="s">
        <v>76</v>
      </c>
      <c r="D364" t="s">
        <v>1314</v>
      </c>
      <c r="E364" t="s">
        <v>1315</v>
      </c>
      <c r="F364" t="s">
        <v>1375</v>
      </c>
      <c r="G364" s="4">
        <f t="shared" si="10"/>
        <v>134.48333333333332</v>
      </c>
      <c r="H364" t="s">
        <v>1376</v>
      </c>
      <c r="I364" t="str">
        <f>VLOOKUP(C364,Customers!A:B,2,FALSE)</f>
        <v>2024:08:16</v>
      </c>
      <c r="J364">
        <f>IFERROR(VLOOKUP($A364,Sheet3!$A:$E,2,FALSE),"")</f>
        <v>8</v>
      </c>
      <c r="K364" t="str">
        <f>IFERROR(VLOOKUP($A364,Sheet3!$A:$E,3,FALSE),"")</f>
        <v>2</v>
      </c>
      <c r="L364" t="str">
        <f>IFERROR(VLOOKUP($A364,Sheet3!$A:$E,4,FALSE),"")</f>
        <v>2025-08-28T10:06:17.000Z</v>
      </c>
      <c r="M364" t="str">
        <f>IFERROR(VLOOKUP($A364,Sheet3!$A:$E,5,FALSE),"")</f>
        <v>2026-01-27T04:48:47.000Z</v>
      </c>
      <c r="N364" s="4">
        <f t="shared" si="11"/>
        <v>377</v>
      </c>
      <c r="O364" t="s">
        <v>2808</v>
      </c>
    </row>
    <row r="365" spans="1:15" x14ac:dyDescent="0.25">
      <c r="A365" t="s">
        <v>1377</v>
      </c>
      <c r="B365" t="s">
        <v>1313</v>
      </c>
      <c r="C365" t="s">
        <v>76</v>
      </c>
      <c r="D365" t="s">
        <v>1314</v>
      </c>
      <c r="E365" t="s">
        <v>1315</v>
      </c>
      <c r="F365" t="s">
        <v>1378</v>
      </c>
      <c r="G365" s="4">
        <f t="shared" si="10"/>
        <v>334.6</v>
      </c>
      <c r="H365" t="s">
        <v>1379</v>
      </c>
      <c r="I365" t="str">
        <f>VLOOKUP(C365,Customers!A:B,2,FALSE)</f>
        <v>2024:08:16</v>
      </c>
      <c r="J365">
        <f>IFERROR(VLOOKUP($A365,Sheet3!$A:$E,2,FALSE),"")</f>
        <v>8</v>
      </c>
      <c r="K365" t="str">
        <f>IFERROR(VLOOKUP($A365,Sheet3!$A:$E,3,FALSE),"")</f>
        <v>1</v>
      </c>
      <c r="L365" t="str">
        <f>IFERROR(VLOOKUP($A365,Sheet3!$A:$E,4,FALSE),"")</f>
        <v>2025-07-20T05:07:46.000Z</v>
      </c>
      <c r="M365" t="str">
        <f>IFERROR(VLOOKUP($A365,Sheet3!$A:$E,5,FALSE),"")</f>
        <v>2025-12-19T06:34:50.000Z</v>
      </c>
      <c r="N365" s="4">
        <f t="shared" si="11"/>
        <v>338</v>
      </c>
      <c r="O365" t="s">
        <v>2809</v>
      </c>
    </row>
    <row r="366" spans="1:15" x14ac:dyDescent="0.25">
      <c r="A366" t="s">
        <v>1380</v>
      </c>
      <c r="B366" t="s">
        <v>1313</v>
      </c>
      <c r="C366" t="s">
        <v>11</v>
      </c>
      <c r="D366" t="s">
        <v>910</v>
      </c>
      <c r="E366" t="s">
        <v>911</v>
      </c>
      <c r="F366" t="s">
        <v>1381</v>
      </c>
      <c r="G366" s="4">
        <f t="shared" si="10"/>
        <v>778.93333333333328</v>
      </c>
      <c r="H366" t="s">
        <v>1382</v>
      </c>
      <c r="I366" t="str">
        <f>VLOOKUP(C366,Customers!A:B,2,FALSE)</f>
        <v>2022:11:21</v>
      </c>
      <c r="J366">
        <f>IFERROR(VLOOKUP($A366,Sheet3!$A:$E,2,FALSE),"")</f>
        <v>5</v>
      </c>
      <c r="K366" t="str">
        <f>IFERROR(VLOOKUP($A366,Sheet3!$A:$E,3,FALSE),"")</f>
        <v>0</v>
      </c>
      <c r="L366" t="str">
        <f>IFERROR(VLOOKUP($A366,Sheet3!$A:$E,4,FALSE),"")</f>
        <v>2024-08-16T09:10:43.000Z</v>
      </c>
      <c r="M366" t="str">
        <f>IFERROR(VLOOKUP($A366,Sheet3!$A:$E,5,FALSE),"")</f>
        <v>2025-10-01T09:34:53.000Z</v>
      </c>
      <c r="N366" s="4">
        <f t="shared" si="11"/>
        <v>634</v>
      </c>
      <c r="O366" t="s">
        <v>2808</v>
      </c>
    </row>
    <row r="367" spans="1:15" x14ac:dyDescent="0.25">
      <c r="A367" t="s">
        <v>1383</v>
      </c>
      <c r="B367" t="s">
        <v>1313</v>
      </c>
      <c r="C367" t="s">
        <v>35</v>
      </c>
      <c r="D367" t="s">
        <v>443</v>
      </c>
      <c r="E367" t="s">
        <v>444</v>
      </c>
      <c r="F367" t="s">
        <v>1384</v>
      </c>
      <c r="G367" s="4">
        <f t="shared" si="10"/>
        <v>479.08333333333331</v>
      </c>
      <c r="H367" t="s">
        <v>1385</v>
      </c>
      <c r="I367" t="str">
        <f>VLOOKUP(C367,Customers!A:B,2,FALSE)</f>
        <v>2024:01:06</v>
      </c>
      <c r="J367">
        <f>IFERROR(VLOOKUP($A367,Sheet3!$A:$E,2,FALSE),"")</f>
        <v>9</v>
      </c>
      <c r="K367" t="str">
        <f>IFERROR(VLOOKUP($A367,Sheet3!$A:$E,3,FALSE),"")</f>
        <v>1</v>
      </c>
      <c r="L367" t="str">
        <f>IFERROR(VLOOKUP($A367,Sheet3!$A:$E,4,FALSE),"")</f>
        <v>2025-02-18T10:14:24.000Z</v>
      </c>
      <c r="M367" t="str">
        <f>IFERROR(VLOOKUP($A367,Sheet3!$A:$E,5,FALSE),"")</f>
        <v>2026-02-05T06:28:06.000Z</v>
      </c>
      <c r="N367" s="4">
        <f t="shared" si="11"/>
        <v>409</v>
      </c>
      <c r="O367" t="s">
        <v>2809</v>
      </c>
    </row>
    <row r="368" spans="1:15" x14ac:dyDescent="0.25">
      <c r="A368" t="s">
        <v>1386</v>
      </c>
      <c r="B368" t="s">
        <v>1313</v>
      </c>
      <c r="C368" t="s">
        <v>35</v>
      </c>
      <c r="D368" t="s">
        <v>443</v>
      </c>
      <c r="E368" t="s">
        <v>444</v>
      </c>
      <c r="F368" t="s">
        <v>1387</v>
      </c>
      <c r="G368" s="4">
        <f t="shared" si="10"/>
        <v>833.6</v>
      </c>
      <c r="H368" t="s">
        <v>1388</v>
      </c>
      <c r="I368" t="str">
        <f>VLOOKUP(C368,Customers!A:B,2,FALSE)</f>
        <v>2024:01:06</v>
      </c>
      <c r="J368">
        <f>IFERROR(VLOOKUP($A368,Sheet3!$A:$E,2,FALSE),"")</f>
        <v>1</v>
      </c>
      <c r="K368" t="str">
        <f>IFERROR(VLOOKUP($A368,Sheet3!$A:$E,3,FALSE),"")</f>
        <v>0</v>
      </c>
      <c r="L368" t="str">
        <f>IFERROR(VLOOKUP($A368,Sheet3!$A:$E,4,FALSE),"")</f>
        <v>2025-05-08T07:20:19.000Z</v>
      </c>
      <c r="M368" t="str">
        <f>IFERROR(VLOOKUP($A368,Sheet3!$A:$E,5,FALSE),"")</f>
        <v>2025-05-08T07:20:19.000Z</v>
      </c>
      <c r="N368" s="4">
        <f t="shared" si="11"/>
        <v>488</v>
      </c>
      <c r="O368" t="s">
        <v>2808</v>
      </c>
    </row>
    <row r="369" spans="1:15" x14ac:dyDescent="0.25">
      <c r="A369" t="s">
        <v>1389</v>
      </c>
      <c r="B369" t="s">
        <v>1313</v>
      </c>
      <c r="C369" t="s">
        <v>35</v>
      </c>
      <c r="D369" t="s">
        <v>443</v>
      </c>
      <c r="E369" t="s">
        <v>444</v>
      </c>
      <c r="F369" t="s">
        <v>1390</v>
      </c>
      <c r="G369" s="4">
        <f t="shared" si="10"/>
        <v>1167.55</v>
      </c>
      <c r="H369" t="s">
        <v>1391</v>
      </c>
      <c r="I369" t="str">
        <f>VLOOKUP(C369,Customers!A:B,2,FALSE)</f>
        <v>2024:01:06</v>
      </c>
      <c r="J369">
        <f>IFERROR(VLOOKUP($A369,Sheet3!$A:$E,2,FALSE),"")</f>
        <v>31</v>
      </c>
      <c r="K369" t="str">
        <f>IFERROR(VLOOKUP($A369,Sheet3!$A:$E,3,FALSE),"")</f>
        <v>3</v>
      </c>
      <c r="L369" t="str">
        <f>IFERROR(VLOOKUP($A369,Sheet3!$A:$E,4,FALSE),"")</f>
        <v>2024-08-13T03:35:43.000Z</v>
      </c>
      <c r="M369" t="str">
        <f>IFERROR(VLOOKUP($A369,Sheet3!$A:$E,5,FALSE),"")</f>
        <v>2026-04-28T11:38:10.000Z</v>
      </c>
      <c r="N369" s="4">
        <f t="shared" si="11"/>
        <v>220</v>
      </c>
      <c r="O369" t="s">
        <v>2809</v>
      </c>
    </row>
    <row r="370" spans="1:15" x14ac:dyDescent="0.25">
      <c r="A370" t="s">
        <v>1392</v>
      </c>
      <c r="B370" t="s">
        <v>1313</v>
      </c>
      <c r="C370" t="s">
        <v>35</v>
      </c>
      <c r="D370" t="s">
        <v>443</v>
      </c>
      <c r="E370" t="s">
        <v>444</v>
      </c>
      <c r="F370" t="s">
        <v>1393</v>
      </c>
      <c r="G370" s="4">
        <f t="shared" si="10"/>
        <v>960.8</v>
      </c>
      <c r="H370" t="s">
        <v>1394</v>
      </c>
      <c r="I370" t="str">
        <f>VLOOKUP(C370,Customers!A:B,2,FALSE)</f>
        <v>2024:01:06</v>
      </c>
      <c r="J370">
        <f>IFERROR(VLOOKUP($A370,Sheet3!$A:$E,2,FALSE),"")</f>
        <v>14</v>
      </c>
      <c r="K370" t="str">
        <f>IFERROR(VLOOKUP($A370,Sheet3!$A:$E,3,FALSE),"")</f>
        <v>4</v>
      </c>
      <c r="L370" t="str">
        <f>IFERROR(VLOOKUP($A370,Sheet3!$A:$E,4,FALSE),"")</f>
        <v>2024-08-11T05:12:03.000Z</v>
      </c>
      <c r="M370" t="str">
        <f>IFERROR(VLOOKUP($A370,Sheet3!$A:$E,5,FALSE),"")</f>
        <v>2026-04-09T06:57:26.000Z</v>
      </c>
      <c r="N370" s="4">
        <f t="shared" si="11"/>
        <v>218</v>
      </c>
      <c r="O370" t="s">
        <v>2808</v>
      </c>
    </row>
    <row r="371" spans="1:15" x14ac:dyDescent="0.25">
      <c r="A371" t="s">
        <v>1395</v>
      </c>
      <c r="B371" t="s">
        <v>1313</v>
      </c>
      <c r="C371" t="s">
        <v>35</v>
      </c>
      <c r="D371" t="s">
        <v>443</v>
      </c>
      <c r="E371" t="s">
        <v>444</v>
      </c>
      <c r="F371" t="s">
        <v>1396</v>
      </c>
      <c r="G371" s="4">
        <f t="shared" si="10"/>
        <v>755.26666666666665</v>
      </c>
      <c r="H371" t="s">
        <v>1397</v>
      </c>
      <c r="I371" t="str">
        <f>VLOOKUP(C371,Customers!A:B,2,FALSE)</f>
        <v>2024:01:06</v>
      </c>
      <c r="J371">
        <f>IFERROR(VLOOKUP($A371,Sheet3!$A:$E,2,FALSE),"")</f>
        <v>29</v>
      </c>
      <c r="K371" t="str">
        <f>IFERROR(VLOOKUP($A371,Sheet3!$A:$E,3,FALSE),"")</f>
        <v>5</v>
      </c>
      <c r="L371" t="str">
        <f>IFERROR(VLOOKUP($A371,Sheet3!$A:$E,4,FALSE),"")</f>
        <v>2024-08-04T03:42:00.000Z</v>
      </c>
      <c r="M371" t="str">
        <f>IFERROR(VLOOKUP($A371,Sheet3!$A:$E,5,FALSE),"")</f>
        <v>2026-04-18T03:59:07.000Z</v>
      </c>
      <c r="N371" s="4">
        <f t="shared" si="11"/>
        <v>211</v>
      </c>
      <c r="O371" t="s">
        <v>2809</v>
      </c>
    </row>
    <row r="372" spans="1:15" x14ac:dyDescent="0.25">
      <c r="A372" t="s">
        <v>1398</v>
      </c>
      <c r="B372" t="s">
        <v>1313</v>
      </c>
      <c r="C372" t="s">
        <v>35</v>
      </c>
      <c r="D372" t="s">
        <v>443</v>
      </c>
      <c r="E372" t="s">
        <v>444</v>
      </c>
      <c r="F372" t="s">
        <v>1399</v>
      </c>
      <c r="G372" s="4">
        <f t="shared" si="10"/>
        <v>212.75</v>
      </c>
      <c r="H372" t="s">
        <v>1400</v>
      </c>
      <c r="I372" t="str">
        <f>VLOOKUP(C372,Customers!A:B,2,FALSE)</f>
        <v>2024:01:06</v>
      </c>
      <c r="J372">
        <f>IFERROR(VLOOKUP($A372,Sheet3!$A:$E,2,FALSE),"")</f>
        <v>21</v>
      </c>
      <c r="K372" t="str">
        <f>IFERROR(VLOOKUP($A372,Sheet3!$A:$E,3,FALSE),"")</f>
        <v>0</v>
      </c>
      <c r="L372" t="str">
        <f>IFERROR(VLOOKUP($A372,Sheet3!$A:$E,4,FALSE),"")</f>
        <v>2024-08-10T08:39:10.000Z</v>
      </c>
      <c r="M372" t="str">
        <f>IFERROR(VLOOKUP($A372,Sheet3!$A:$E,5,FALSE),"")</f>
        <v>2026-05-05T07:22:11.000Z</v>
      </c>
      <c r="N372" s="4">
        <f t="shared" si="11"/>
        <v>217</v>
      </c>
      <c r="O372" t="s">
        <v>2808</v>
      </c>
    </row>
    <row r="373" spans="1:15" x14ac:dyDescent="0.25">
      <c r="A373" t="s">
        <v>1401</v>
      </c>
      <c r="B373" t="s">
        <v>1313</v>
      </c>
      <c r="C373" t="s">
        <v>35</v>
      </c>
      <c r="D373" t="s">
        <v>443</v>
      </c>
      <c r="E373" t="s">
        <v>444</v>
      </c>
      <c r="F373" t="s">
        <v>1402</v>
      </c>
      <c r="G373" s="4">
        <f t="shared" si="10"/>
        <v>640.91666666666663</v>
      </c>
      <c r="H373" t="s">
        <v>1403</v>
      </c>
      <c r="I373" t="str">
        <f>VLOOKUP(C373,Customers!A:B,2,FALSE)</f>
        <v>2024:01:06</v>
      </c>
      <c r="J373">
        <f>IFERROR(VLOOKUP($A373,Sheet3!$A:$E,2,FALSE),"")</f>
        <v>33</v>
      </c>
      <c r="K373" t="str">
        <f>IFERROR(VLOOKUP($A373,Sheet3!$A:$E,3,FALSE),"")</f>
        <v>4</v>
      </c>
      <c r="L373" t="str">
        <f>IFERROR(VLOOKUP($A373,Sheet3!$A:$E,4,FALSE),"")</f>
        <v>2024-08-05T04:49:07.000Z</v>
      </c>
      <c r="M373" t="str">
        <f>IFERROR(VLOOKUP($A373,Sheet3!$A:$E,5,FALSE),"")</f>
        <v>2026-05-06T16:15:07.000Z</v>
      </c>
      <c r="N373" s="4">
        <f t="shared" si="11"/>
        <v>212</v>
      </c>
      <c r="O373" t="s">
        <v>2809</v>
      </c>
    </row>
    <row r="374" spans="1:15" x14ac:dyDescent="0.25">
      <c r="A374" t="s">
        <v>1404</v>
      </c>
      <c r="B374" t="s">
        <v>1313</v>
      </c>
      <c r="C374" t="s">
        <v>35</v>
      </c>
      <c r="D374" t="s">
        <v>443</v>
      </c>
      <c r="E374" t="s">
        <v>444</v>
      </c>
      <c r="F374" t="s">
        <v>1405</v>
      </c>
      <c r="G374" s="4">
        <f t="shared" si="10"/>
        <v>1385.4333333333334</v>
      </c>
      <c r="H374" t="s">
        <v>1406</v>
      </c>
      <c r="I374" t="str">
        <f>VLOOKUP(C374,Customers!A:B,2,FALSE)</f>
        <v>2024:01:06</v>
      </c>
      <c r="J374">
        <f>IFERROR(VLOOKUP($A374,Sheet3!$A:$E,2,FALSE),"")</f>
        <v>38</v>
      </c>
      <c r="K374" t="str">
        <f>IFERROR(VLOOKUP($A374,Sheet3!$A:$E,3,FALSE),"")</f>
        <v>6</v>
      </c>
      <c r="L374" t="str">
        <f>IFERROR(VLOOKUP($A374,Sheet3!$A:$E,4,FALSE),"")</f>
        <v>2024-08-03T10:41:52.000Z</v>
      </c>
      <c r="M374" t="str">
        <f>IFERROR(VLOOKUP($A374,Sheet3!$A:$E,5,FALSE),"")</f>
        <v>2026-04-08T04:02:11.000Z</v>
      </c>
      <c r="N374" s="4">
        <f t="shared" si="11"/>
        <v>210</v>
      </c>
      <c r="O374" t="s">
        <v>2808</v>
      </c>
    </row>
    <row r="375" spans="1:15" x14ac:dyDescent="0.25">
      <c r="A375" t="s">
        <v>1407</v>
      </c>
      <c r="B375" t="s">
        <v>1313</v>
      </c>
      <c r="C375" t="s">
        <v>35</v>
      </c>
      <c r="D375" t="s">
        <v>443</v>
      </c>
      <c r="E375" t="s">
        <v>444</v>
      </c>
      <c r="F375" t="s">
        <v>1408</v>
      </c>
      <c r="G375" s="4">
        <f t="shared" si="10"/>
        <v>1012.7833333333333</v>
      </c>
      <c r="H375" t="s">
        <v>1409</v>
      </c>
      <c r="I375" t="str">
        <f>VLOOKUP(C375,Customers!A:B,2,FALSE)</f>
        <v>2024:01:06</v>
      </c>
      <c r="J375">
        <f>IFERROR(VLOOKUP($A375,Sheet3!$A:$E,2,FALSE),"")</f>
        <v>29</v>
      </c>
      <c r="K375" t="str">
        <f>IFERROR(VLOOKUP($A375,Sheet3!$A:$E,3,FALSE),"")</f>
        <v>6</v>
      </c>
      <c r="L375" t="str">
        <f>IFERROR(VLOOKUP($A375,Sheet3!$A:$E,4,FALSE),"")</f>
        <v>2024-08-19T11:56:11.000Z</v>
      </c>
      <c r="M375" t="str">
        <f>IFERROR(VLOOKUP($A375,Sheet3!$A:$E,5,FALSE),"")</f>
        <v>2026-03-30T05:17:52.000Z</v>
      </c>
      <c r="N375" s="4">
        <f t="shared" si="11"/>
        <v>226</v>
      </c>
      <c r="O375" t="s">
        <v>2809</v>
      </c>
    </row>
    <row r="376" spans="1:15" x14ac:dyDescent="0.25">
      <c r="A376" t="s">
        <v>1410</v>
      </c>
      <c r="B376" t="s">
        <v>1313</v>
      </c>
      <c r="C376" t="s">
        <v>35</v>
      </c>
      <c r="D376" t="s">
        <v>443</v>
      </c>
      <c r="E376" t="s">
        <v>444</v>
      </c>
      <c r="F376" t="s">
        <v>1411</v>
      </c>
      <c r="G376" s="4">
        <f t="shared" si="10"/>
        <v>197.1</v>
      </c>
      <c r="H376" t="s">
        <v>1412</v>
      </c>
      <c r="I376" t="str">
        <f>VLOOKUP(C376,Customers!A:B,2,FALSE)</f>
        <v>2024:01:06</v>
      </c>
      <c r="J376">
        <f>IFERROR(VLOOKUP($A376,Sheet3!$A:$E,2,FALSE),"")</f>
        <v>28</v>
      </c>
      <c r="K376" t="str">
        <f>IFERROR(VLOOKUP($A376,Sheet3!$A:$E,3,FALSE),"")</f>
        <v>3</v>
      </c>
      <c r="L376" t="str">
        <f>IFERROR(VLOOKUP($A376,Sheet3!$A:$E,4,FALSE),"")</f>
        <v>2024-09-02T07:32:29.000Z</v>
      </c>
      <c r="M376" t="str">
        <f>IFERROR(VLOOKUP($A376,Sheet3!$A:$E,5,FALSE),"")</f>
        <v>2026-03-20T05:43:59.000Z</v>
      </c>
      <c r="N376" s="4">
        <f t="shared" si="11"/>
        <v>240</v>
      </c>
      <c r="O376" t="s">
        <v>2808</v>
      </c>
    </row>
    <row r="377" spans="1:15" x14ac:dyDescent="0.25">
      <c r="A377" t="s">
        <v>1413</v>
      </c>
      <c r="B377" t="s">
        <v>1313</v>
      </c>
      <c r="C377" t="s">
        <v>35</v>
      </c>
      <c r="D377" t="s">
        <v>443</v>
      </c>
      <c r="E377" t="s">
        <v>444</v>
      </c>
      <c r="F377" t="s">
        <v>1414</v>
      </c>
      <c r="G377" s="4">
        <f t="shared" si="10"/>
        <v>373.83333333333331</v>
      </c>
      <c r="H377" t="s">
        <v>1415</v>
      </c>
      <c r="I377" t="str">
        <f>VLOOKUP(C377,Customers!A:B,2,FALSE)</f>
        <v>2024:01:06</v>
      </c>
      <c r="J377">
        <f>IFERROR(VLOOKUP($A377,Sheet3!$A:$E,2,FALSE),"")</f>
        <v>23</v>
      </c>
      <c r="K377" t="str">
        <f>IFERROR(VLOOKUP($A377,Sheet3!$A:$E,3,FALSE),"")</f>
        <v>4</v>
      </c>
      <c r="L377" t="str">
        <f>IFERROR(VLOOKUP($A377,Sheet3!$A:$E,4,FALSE),"")</f>
        <v>2024-09-01T12:58:48.000Z</v>
      </c>
      <c r="M377" t="str">
        <f>IFERROR(VLOOKUP($A377,Sheet3!$A:$E,5,FALSE),"")</f>
        <v>2026-04-15T05:48:11.000Z</v>
      </c>
      <c r="N377" s="4">
        <f t="shared" si="11"/>
        <v>239</v>
      </c>
      <c r="O377" t="s">
        <v>2809</v>
      </c>
    </row>
    <row r="378" spans="1:15" x14ac:dyDescent="0.25">
      <c r="A378" t="s">
        <v>1416</v>
      </c>
      <c r="B378" t="s">
        <v>1313</v>
      </c>
      <c r="C378" t="s">
        <v>66</v>
      </c>
      <c r="D378" t="s">
        <v>1417</v>
      </c>
      <c r="E378" t="s">
        <v>1418</v>
      </c>
      <c r="F378" t="s">
        <v>1419</v>
      </c>
      <c r="G378" s="4">
        <f t="shared" si="10"/>
        <v>857.16666666666663</v>
      </c>
      <c r="H378" t="s">
        <v>1420</v>
      </c>
      <c r="I378" t="str">
        <f>VLOOKUP(C378,Customers!A:B,2,FALSE)</f>
        <v>2024:08:14</v>
      </c>
      <c r="J378">
        <f>IFERROR(VLOOKUP($A378,Sheet3!$A:$E,2,FALSE),"")</f>
        <v>26</v>
      </c>
      <c r="K378" t="str">
        <f>IFERROR(VLOOKUP($A378,Sheet3!$A:$E,3,FALSE),"")</f>
        <v>11</v>
      </c>
      <c r="L378" t="str">
        <f>IFERROR(VLOOKUP($A378,Sheet3!$A:$E,4,FALSE),"")</f>
        <v>2024-08-22T10:32:14.000Z</v>
      </c>
      <c r="M378" t="str">
        <f>IFERROR(VLOOKUP($A378,Sheet3!$A:$E,5,FALSE),"")</f>
        <v>2026-02-19T09:14:29.000Z</v>
      </c>
      <c r="N378" s="4">
        <f t="shared" si="11"/>
        <v>8</v>
      </c>
      <c r="O378" t="s">
        <v>2808</v>
      </c>
    </row>
    <row r="379" spans="1:15" x14ac:dyDescent="0.25">
      <c r="A379" t="s">
        <v>1421</v>
      </c>
      <c r="B379" t="s">
        <v>1313</v>
      </c>
      <c r="C379" t="s">
        <v>11</v>
      </c>
      <c r="D379" t="s">
        <v>910</v>
      </c>
      <c r="E379" t="s">
        <v>911</v>
      </c>
      <c r="F379" t="s">
        <v>1422</v>
      </c>
      <c r="G379" s="4">
        <f t="shared" si="10"/>
        <v>731.7833333333333</v>
      </c>
      <c r="H379" t="s">
        <v>1423</v>
      </c>
      <c r="I379" t="str">
        <f>VLOOKUP(C379,Customers!A:B,2,FALSE)</f>
        <v>2022:11:21</v>
      </c>
      <c r="J379">
        <f>IFERROR(VLOOKUP($A379,Sheet3!$A:$E,2,FALSE),"")</f>
        <v>14</v>
      </c>
      <c r="K379" t="str">
        <f>IFERROR(VLOOKUP($A379,Sheet3!$A:$E,3,FALSE),"")</f>
        <v>6</v>
      </c>
      <c r="L379" t="str">
        <f>IFERROR(VLOOKUP($A379,Sheet3!$A:$E,4,FALSE),"")</f>
        <v>2024-09-13T06:33:33.000Z</v>
      </c>
      <c r="M379" t="str">
        <f>IFERROR(VLOOKUP($A379,Sheet3!$A:$E,5,FALSE),"")</f>
        <v>2025-11-29T07:20:23.000Z</v>
      </c>
      <c r="N379" s="4">
        <f t="shared" si="11"/>
        <v>662</v>
      </c>
      <c r="O379" t="s">
        <v>2809</v>
      </c>
    </row>
    <row r="380" spans="1:15" x14ac:dyDescent="0.25">
      <c r="A380" t="s">
        <v>1424</v>
      </c>
      <c r="B380" t="s">
        <v>1313</v>
      </c>
      <c r="C380" t="s">
        <v>35</v>
      </c>
      <c r="D380" t="s">
        <v>443</v>
      </c>
      <c r="E380" t="s">
        <v>444</v>
      </c>
      <c r="F380" t="s">
        <v>1425</v>
      </c>
      <c r="G380" s="4">
        <f t="shared" si="10"/>
        <v>1424.0833333333333</v>
      </c>
      <c r="H380" t="s">
        <v>1426</v>
      </c>
      <c r="I380" t="str">
        <f>VLOOKUP(C380,Customers!A:B,2,FALSE)</f>
        <v>2024:01:06</v>
      </c>
      <c r="J380">
        <f>IFERROR(VLOOKUP($A380,Sheet3!$A:$E,2,FALSE),"")</f>
        <v>41</v>
      </c>
      <c r="K380" t="str">
        <f>IFERROR(VLOOKUP($A380,Sheet3!$A:$E,3,FALSE),"")</f>
        <v>13</v>
      </c>
      <c r="L380" t="str">
        <f>IFERROR(VLOOKUP($A380,Sheet3!$A:$E,4,FALSE),"")</f>
        <v>2024-08-18T08:30:55.000Z</v>
      </c>
      <c r="M380" t="str">
        <f>IFERROR(VLOOKUP($A380,Sheet3!$A:$E,5,FALSE),"")</f>
        <v>2026-04-07T02:12:41.000Z</v>
      </c>
      <c r="N380" s="4">
        <f t="shared" si="11"/>
        <v>225</v>
      </c>
      <c r="O380" t="s">
        <v>2808</v>
      </c>
    </row>
    <row r="381" spans="1:15" x14ac:dyDescent="0.25">
      <c r="A381" t="s">
        <v>1427</v>
      </c>
      <c r="B381" t="s">
        <v>1313</v>
      </c>
      <c r="C381" t="s">
        <v>11</v>
      </c>
      <c r="D381" t="s">
        <v>910</v>
      </c>
      <c r="E381" t="s">
        <v>911</v>
      </c>
      <c r="F381" t="s">
        <v>1428</v>
      </c>
      <c r="G381" s="4">
        <f t="shared" si="10"/>
        <v>50.483333333333334</v>
      </c>
      <c r="H381" t="s">
        <v>1099</v>
      </c>
      <c r="I381" t="str">
        <f>VLOOKUP(C381,Customers!A:B,2,FALSE)</f>
        <v>2022:11:21</v>
      </c>
      <c r="J381">
        <f>IFERROR(VLOOKUP($A381,Sheet3!$A:$E,2,FALSE),"")</f>
        <v>9</v>
      </c>
      <c r="K381" t="str">
        <f>IFERROR(VLOOKUP($A381,Sheet3!$A:$E,3,FALSE),"")</f>
        <v>4</v>
      </c>
      <c r="L381" t="str">
        <f>IFERROR(VLOOKUP($A381,Sheet3!$A:$E,4,FALSE),"")</f>
        <v>2024-08-24T13:34:54.000Z</v>
      </c>
      <c r="M381" t="str">
        <f>IFERROR(VLOOKUP($A381,Sheet3!$A:$E,5,FALSE),"")</f>
        <v>2024-11-07T12:21:58.000Z</v>
      </c>
      <c r="N381" s="4">
        <f t="shared" si="11"/>
        <v>642</v>
      </c>
      <c r="O381" t="s">
        <v>2809</v>
      </c>
    </row>
    <row r="382" spans="1:15" x14ac:dyDescent="0.25">
      <c r="A382" t="s">
        <v>1429</v>
      </c>
      <c r="B382" t="s">
        <v>1313</v>
      </c>
      <c r="C382" t="s">
        <v>11</v>
      </c>
      <c r="D382" t="s">
        <v>910</v>
      </c>
      <c r="E382" t="s">
        <v>911</v>
      </c>
      <c r="F382" t="s">
        <v>1430</v>
      </c>
      <c r="G382" s="4">
        <f t="shared" si="10"/>
        <v>941.7833333333333</v>
      </c>
      <c r="H382" t="s">
        <v>1431</v>
      </c>
      <c r="I382" t="str">
        <f>VLOOKUP(C382,Customers!A:B,2,FALSE)</f>
        <v>2022:11:21</v>
      </c>
      <c r="J382">
        <f>IFERROR(VLOOKUP($A382,Sheet3!$A:$E,2,FALSE),"")</f>
        <v>26</v>
      </c>
      <c r="K382" t="str">
        <f>IFERROR(VLOOKUP($A382,Sheet3!$A:$E,3,FALSE),"")</f>
        <v>11</v>
      </c>
      <c r="L382" t="str">
        <f>IFERROR(VLOOKUP($A382,Sheet3!$A:$E,4,FALSE),"")</f>
        <v>2024-09-11T14:53:39.000Z</v>
      </c>
      <c r="M382" t="str">
        <f>IFERROR(VLOOKUP($A382,Sheet3!$A:$E,5,FALSE),"")</f>
        <v>2026-04-10T14:36:50.000Z</v>
      </c>
      <c r="N382" s="4">
        <f t="shared" si="11"/>
        <v>660</v>
      </c>
      <c r="O382" t="s">
        <v>2808</v>
      </c>
    </row>
    <row r="383" spans="1:15" x14ac:dyDescent="0.25">
      <c r="A383" t="s">
        <v>1432</v>
      </c>
      <c r="B383" t="s">
        <v>1313</v>
      </c>
      <c r="C383" t="s">
        <v>76</v>
      </c>
      <c r="D383" t="s">
        <v>1314</v>
      </c>
      <c r="E383" t="s">
        <v>1315</v>
      </c>
      <c r="F383" t="s">
        <v>1433</v>
      </c>
      <c r="G383" s="4">
        <f t="shared" si="10"/>
        <v>1059.2666666666667</v>
      </c>
      <c r="H383" t="s">
        <v>1434</v>
      </c>
      <c r="I383" t="str">
        <f>VLOOKUP(C383,Customers!A:B,2,FALSE)</f>
        <v>2024:08:16</v>
      </c>
      <c r="J383">
        <f>IFERROR(VLOOKUP($A383,Sheet3!$A:$E,2,FALSE),"")</f>
        <v>43</v>
      </c>
      <c r="K383" t="str">
        <f>IFERROR(VLOOKUP($A383,Sheet3!$A:$E,3,FALSE),"")</f>
        <v>11</v>
      </c>
      <c r="L383" t="str">
        <f>IFERROR(VLOOKUP($A383,Sheet3!$A:$E,4,FALSE),"")</f>
        <v>2024-09-06T07:38:12.000Z</v>
      </c>
      <c r="M383" t="str">
        <f>IFERROR(VLOOKUP($A383,Sheet3!$A:$E,5,FALSE),"")</f>
        <v>2026-01-26T11:27:14.000Z</v>
      </c>
      <c r="N383" s="4">
        <f t="shared" si="11"/>
        <v>21</v>
      </c>
      <c r="O383" t="s">
        <v>2809</v>
      </c>
    </row>
    <row r="384" spans="1:15" x14ac:dyDescent="0.25">
      <c r="A384" t="s">
        <v>1435</v>
      </c>
      <c r="B384" t="s">
        <v>318</v>
      </c>
      <c r="C384" t="s">
        <v>11</v>
      </c>
      <c r="D384" t="s">
        <v>910</v>
      </c>
      <c r="E384" t="s">
        <v>911</v>
      </c>
      <c r="F384" t="s">
        <v>1436</v>
      </c>
      <c r="G384" s="4">
        <f t="shared" si="10"/>
        <v>168.66666666666666</v>
      </c>
      <c r="H384" t="s">
        <v>1437</v>
      </c>
      <c r="I384" t="str">
        <f>VLOOKUP(C384,Customers!A:B,2,FALSE)</f>
        <v>2022:11:21</v>
      </c>
      <c r="J384">
        <f>IFERROR(VLOOKUP($A384,Sheet3!$A:$E,2,FALSE),"")</f>
        <v>11</v>
      </c>
      <c r="K384" t="str">
        <f>IFERROR(VLOOKUP($A384,Sheet3!$A:$E,3,FALSE),"")</f>
        <v>4</v>
      </c>
      <c r="L384" t="str">
        <f>IFERROR(VLOOKUP($A384,Sheet3!$A:$E,4,FALSE),"")</f>
        <v>2024-08-29T08:44:19.000Z</v>
      </c>
      <c r="M384" t="str">
        <f>IFERROR(VLOOKUP($A384,Sheet3!$A:$E,5,FALSE),"")</f>
        <v>2026-02-20T10:32:20.000Z</v>
      </c>
      <c r="N384" s="4">
        <f t="shared" si="11"/>
        <v>647</v>
      </c>
      <c r="O384" t="s">
        <v>2808</v>
      </c>
    </row>
    <row r="385" spans="1:15" x14ac:dyDescent="0.25">
      <c r="A385" t="s">
        <v>1438</v>
      </c>
      <c r="B385" t="s">
        <v>1313</v>
      </c>
      <c r="C385" t="s">
        <v>11</v>
      </c>
      <c r="D385" t="s">
        <v>910</v>
      </c>
      <c r="E385" t="s">
        <v>911</v>
      </c>
      <c r="F385" t="s">
        <v>1439</v>
      </c>
      <c r="G385" s="4">
        <f t="shared" si="10"/>
        <v>391.11666666666667</v>
      </c>
      <c r="H385" t="s">
        <v>1440</v>
      </c>
      <c r="I385" t="str">
        <f>VLOOKUP(C385,Customers!A:B,2,FALSE)</f>
        <v>2022:11:21</v>
      </c>
      <c r="J385">
        <f>IFERROR(VLOOKUP($A385,Sheet3!$A:$E,2,FALSE),"")</f>
        <v>50</v>
      </c>
      <c r="K385" t="str">
        <f>IFERROR(VLOOKUP($A385,Sheet3!$A:$E,3,FALSE),"")</f>
        <v>18</v>
      </c>
      <c r="L385" t="str">
        <f>IFERROR(VLOOKUP($A385,Sheet3!$A:$E,4,FALSE),"")</f>
        <v>2024-08-09T07:18:40.000Z</v>
      </c>
      <c r="M385" t="str">
        <f>IFERROR(VLOOKUP($A385,Sheet3!$A:$E,5,FALSE),"")</f>
        <v>2026-02-23T08:31:08.000Z</v>
      </c>
      <c r="N385" s="4">
        <f t="shared" si="11"/>
        <v>627</v>
      </c>
      <c r="O385" t="s">
        <v>2809</v>
      </c>
    </row>
    <row r="386" spans="1:15" x14ac:dyDescent="0.25">
      <c r="A386" t="s">
        <v>1441</v>
      </c>
      <c r="B386" t="s">
        <v>1313</v>
      </c>
      <c r="C386" t="s">
        <v>76</v>
      </c>
      <c r="D386" t="s">
        <v>1314</v>
      </c>
      <c r="E386" t="s">
        <v>1315</v>
      </c>
      <c r="F386" t="s">
        <v>1442</v>
      </c>
      <c r="G386" s="4">
        <f t="shared" ref="G386:G449" si="12">IF(OR(F386="NULL",F386=""),"",(HOUR(F386)*60)+MINUTE(F386)+(SECOND(F386)/60))</f>
        <v>1254.4833333333333</v>
      </c>
      <c r="H386" t="s">
        <v>1443</v>
      </c>
      <c r="I386" t="str">
        <f>VLOOKUP(C386,Customers!A:B,2,FALSE)</f>
        <v>2024:08:16</v>
      </c>
      <c r="J386">
        <f>IFERROR(VLOOKUP($A386,Sheet3!$A:$E,2,FALSE),"")</f>
        <v>39</v>
      </c>
      <c r="K386" t="str">
        <f>IFERROR(VLOOKUP($A386,Sheet3!$A:$E,3,FALSE),"")</f>
        <v>12</v>
      </c>
      <c r="L386" t="str">
        <f>IFERROR(VLOOKUP($A386,Sheet3!$A:$E,4,FALSE),"")</f>
        <v>2024-09-10T08:27:02.000Z</v>
      </c>
      <c r="M386" t="str">
        <f>IFERROR(VLOOKUP($A386,Sheet3!$A:$E,5,FALSE),"")</f>
        <v>2026-02-24T05:30:06.000Z</v>
      </c>
      <c r="N386" s="4">
        <f t="shared" si="11"/>
        <v>25</v>
      </c>
      <c r="O386" t="s">
        <v>2808</v>
      </c>
    </row>
    <row r="387" spans="1:15" x14ac:dyDescent="0.25">
      <c r="A387" t="s">
        <v>1444</v>
      </c>
      <c r="B387" t="s">
        <v>1313</v>
      </c>
      <c r="C387" t="s">
        <v>11</v>
      </c>
      <c r="D387" t="s">
        <v>910</v>
      </c>
      <c r="E387" t="s">
        <v>911</v>
      </c>
      <c r="F387" t="s">
        <v>1445</v>
      </c>
      <c r="G387" s="4">
        <f t="shared" si="12"/>
        <v>387.7</v>
      </c>
      <c r="H387" t="s">
        <v>1446</v>
      </c>
      <c r="I387" t="str">
        <f>VLOOKUP(C387,Customers!A:B,2,FALSE)</f>
        <v>2022:11:21</v>
      </c>
      <c r="J387">
        <f>IFERROR(VLOOKUP($A387,Sheet3!$A:$E,2,FALSE),"")</f>
        <v>39</v>
      </c>
      <c r="K387" t="str">
        <f>IFERROR(VLOOKUP($A387,Sheet3!$A:$E,3,FALSE),"")</f>
        <v>13</v>
      </c>
      <c r="L387" t="str">
        <f>IFERROR(VLOOKUP($A387,Sheet3!$A:$E,4,FALSE),"")</f>
        <v>2024-09-16T14:51:10.000Z</v>
      </c>
      <c r="M387" t="str">
        <f>IFERROR(VLOOKUP($A387,Sheet3!$A:$E,5,FALSE),"")</f>
        <v>2026-04-17T04:58:02.000Z</v>
      </c>
      <c r="N387" s="4">
        <f t="shared" ref="N387:N447" si="13">IFERROR(LEFT(L387,10)-(LEFT(I387,4)&amp;"-"&amp;MID(I387,6,2)&amp;"-"&amp;RIGHT(I387,2)),"")</f>
        <v>665</v>
      </c>
      <c r="O387" t="s">
        <v>2809</v>
      </c>
    </row>
    <row r="388" spans="1:15" x14ac:dyDescent="0.25">
      <c r="A388" t="s">
        <v>1447</v>
      </c>
      <c r="B388" t="s">
        <v>1313</v>
      </c>
      <c r="C388" t="s">
        <v>11</v>
      </c>
      <c r="D388" t="s">
        <v>910</v>
      </c>
      <c r="E388" t="s">
        <v>911</v>
      </c>
      <c r="F388" t="s">
        <v>1448</v>
      </c>
      <c r="G388" s="4">
        <f t="shared" si="12"/>
        <v>797.36666666666667</v>
      </c>
      <c r="H388" t="s">
        <v>1449</v>
      </c>
      <c r="I388" t="str">
        <f>VLOOKUP(C388,Customers!A:B,2,FALSE)</f>
        <v>2022:11:21</v>
      </c>
      <c r="J388">
        <f>IFERROR(VLOOKUP($A388,Sheet3!$A:$E,2,FALSE),"")</f>
        <v>38</v>
      </c>
      <c r="K388" t="str">
        <f>IFERROR(VLOOKUP($A388,Sheet3!$A:$E,3,FALSE),"")</f>
        <v>15</v>
      </c>
      <c r="L388" t="str">
        <f>IFERROR(VLOOKUP($A388,Sheet3!$A:$E,4,FALSE),"")</f>
        <v>2024-11-19T10:13:29.000Z</v>
      </c>
      <c r="M388" t="str">
        <f>IFERROR(VLOOKUP($A388,Sheet3!$A:$E,5,FALSE),"")</f>
        <v>2026-04-25T08:59:40.000Z</v>
      </c>
      <c r="N388" s="4">
        <f t="shared" si="13"/>
        <v>729</v>
      </c>
      <c r="O388" t="s">
        <v>2808</v>
      </c>
    </row>
    <row r="389" spans="1:15" x14ac:dyDescent="0.25">
      <c r="A389" t="s">
        <v>1450</v>
      </c>
      <c r="B389" t="s">
        <v>1313</v>
      </c>
      <c r="C389" t="s">
        <v>76</v>
      </c>
      <c r="D389" t="s">
        <v>1314</v>
      </c>
      <c r="E389" t="s">
        <v>1315</v>
      </c>
      <c r="F389" t="s">
        <v>1451</v>
      </c>
      <c r="G389" s="4">
        <f t="shared" si="12"/>
        <v>815.86666666666667</v>
      </c>
      <c r="H389" t="s">
        <v>1452</v>
      </c>
      <c r="I389" t="str">
        <f>VLOOKUP(C389,Customers!A:B,2,FALSE)</f>
        <v>2024:08:16</v>
      </c>
      <c r="J389">
        <f>IFERROR(VLOOKUP($A389,Sheet3!$A:$E,2,FALSE),"")</f>
        <v>33</v>
      </c>
      <c r="K389" t="str">
        <f>IFERROR(VLOOKUP($A389,Sheet3!$A:$E,3,FALSE),"")</f>
        <v>18</v>
      </c>
      <c r="L389" t="str">
        <f>IFERROR(VLOOKUP($A389,Sheet3!$A:$E,4,FALSE),"")</f>
        <v>2024-09-10T07:43:41.000Z</v>
      </c>
      <c r="M389" t="str">
        <f>IFERROR(VLOOKUP($A389,Sheet3!$A:$E,5,FALSE),"")</f>
        <v>2026-01-26T11:27:54.000Z</v>
      </c>
      <c r="N389" s="4">
        <f t="shared" si="13"/>
        <v>25</v>
      </c>
      <c r="O389" t="s">
        <v>2809</v>
      </c>
    </row>
    <row r="390" spans="1:15" x14ac:dyDescent="0.25">
      <c r="A390" t="s">
        <v>1453</v>
      </c>
      <c r="B390" t="s">
        <v>1313</v>
      </c>
      <c r="C390" t="s">
        <v>76</v>
      </c>
      <c r="D390" t="s">
        <v>1314</v>
      </c>
      <c r="E390" t="s">
        <v>1315</v>
      </c>
      <c r="F390" t="s">
        <v>1454</v>
      </c>
      <c r="G390" s="4">
        <f t="shared" si="12"/>
        <v>380.8</v>
      </c>
      <c r="H390" t="s">
        <v>1455</v>
      </c>
      <c r="I390" t="str">
        <f>VLOOKUP(C390,Customers!A:B,2,FALSE)</f>
        <v>2024:08:16</v>
      </c>
      <c r="J390">
        <f>IFERROR(VLOOKUP($A390,Sheet3!$A:$E,2,FALSE),"")</f>
        <v>31</v>
      </c>
      <c r="K390" t="str">
        <f>IFERROR(VLOOKUP($A390,Sheet3!$A:$E,3,FALSE),"")</f>
        <v>13</v>
      </c>
      <c r="L390" t="str">
        <f>IFERROR(VLOOKUP($A390,Sheet3!$A:$E,4,FALSE),"")</f>
        <v>2024-08-28T06:10:43.000Z</v>
      </c>
      <c r="M390" t="str">
        <f>IFERROR(VLOOKUP($A390,Sheet3!$A:$E,5,FALSE),"")</f>
        <v>2026-01-22T11:10:14.000Z</v>
      </c>
      <c r="N390" s="4">
        <f t="shared" si="13"/>
        <v>12</v>
      </c>
      <c r="O390" t="s">
        <v>2808</v>
      </c>
    </row>
    <row r="391" spans="1:15" x14ac:dyDescent="0.25">
      <c r="A391" t="s">
        <v>1456</v>
      </c>
      <c r="B391" t="s">
        <v>1313</v>
      </c>
      <c r="C391" t="s">
        <v>76</v>
      </c>
      <c r="D391" t="s">
        <v>1314</v>
      </c>
      <c r="E391" t="s">
        <v>1315</v>
      </c>
      <c r="F391" t="s">
        <v>1457</v>
      </c>
      <c r="G391" s="4">
        <f t="shared" si="12"/>
        <v>850.18333333333328</v>
      </c>
      <c r="H391" t="s">
        <v>1458</v>
      </c>
      <c r="I391" t="str">
        <f>VLOOKUP(C391,Customers!A:B,2,FALSE)</f>
        <v>2024:08:16</v>
      </c>
      <c r="J391">
        <f>IFERROR(VLOOKUP($A391,Sheet3!$A:$E,2,FALSE),"")</f>
        <v>28</v>
      </c>
      <c r="K391" t="str">
        <f>IFERROR(VLOOKUP($A391,Sheet3!$A:$E,3,FALSE),"")</f>
        <v>10</v>
      </c>
      <c r="L391" t="str">
        <f>IFERROR(VLOOKUP($A391,Sheet3!$A:$E,4,FALSE),"")</f>
        <v>2024-09-18T06:49:31.000Z</v>
      </c>
      <c r="M391" t="str">
        <f>IFERROR(VLOOKUP($A391,Sheet3!$A:$E,5,FALSE),"")</f>
        <v>2025-07-30T07:28:38.000Z</v>
      </c>
      <c r="N391" s="4">
        <f t="shared" si="13"/>
        <v>33</v>
      </c>
      <c r="O391" t="s">
        <v>2809</v>
      </c>
    </row>
    <row r="392" spans="1:15" x14ac:dyDescent="0.25">
      <c r="A392" t="s">
        <v>1459</v>
      </c>
      <c r="B392" t="s">
        <v>1313</v>
      </c>
      <c r="C392" t="s">
        <v>76</v>
      </c>
      <c r="D392" t="s">
        <v>1314</v>
      </c>
      <c r="E392" t="s">
        <v>1315</v>
      </c>
      <c r="F392" t="s">
        <v>1460</v>
      </c>
      <c r="G392" s="4">
        <f t="shared" si="12"/>
        <v>559.51666666666665</v>
      </c>
      <c r="H392" t="s">
        <v>1461</v>
      </c>
      <c r="I392" t="str">
        <f>VLOOKUP(C392,Customers!A:B,2,FALSE)</f>
        <v>2024:08:16</v>
      </c>
      <c r="J392">
        <f>IFERROR(VLOOKUP($A392,Sheet3!$A:$E,2,FALSE),"")</f>
        <v>23</v>
      </c>
      <c r="K392" t="str">
        <f>IFERROR(VLOOKUP($A392,Sheet3!$A:$E,3,FALSE),"")</f>
        <v>7</v>
      </c>
      <c r="L392" t="str">
        <f>IFERROR(VLOOKUP($A392,Sheet3!$A:$E,4,FALSE),"")</f>
        <v>2024-10-02T13:44:42.000Z</v>
      </c>
      <c r="M392" t="str">
        <f>IFERROR(VLOOKUP($A392,Sheet3!$A:$E,5,FALSE),"")</f>
        <v>2026-01-22T11:15:19.000Z</v>
      </c>
      <c r="N392" s="4">
        <f t="shared" si="13"/>
        <v>47</v>
      </c>
      <c r="O392" t="s">
        <v>2808</v>
      </c>
    </row>
    <row r="393" spans="1:15" x14ac:dyDescent="0.25">
      <c r="A393" t="s">
        <v>1462</v>
      </c>
      <c r="B393" t="s">
        <v>1313</v>
      </c>
      <c r="C393" t="s">
        <v>11</v>
      </c>
      <c r="D393" t="s">
        <v>910</v>
      </c>
      <c r="E393" t="s">
        <v>911</v>
      </c>
      <c r="F393" t="s">
        <v>1463</v>
      </c>
      <c r="G393" s="4">
        <f t="shared" si="12"/>
        <v>1251.3166666666666</v>
      </c>
      <c r="H393" t="s">
        <v>1464</v>
      </c>
      <c r="I393" t="str">
        <f>VLOOKUP(C393,Customers!A:B,2,FALSE)</f>
        <v>2022:11:21</v>
      </c>
      <c r="J393">
        <f>IFERROR(VLOOKUP($A393,Sheet3!$A:$E,2,FALSE),"")</f>
        <v>24</v>
      </c>
      <c r="K393" t="str">
        <f>IFERROR(VLOOKUP($A393,Sheet3!$A:$E,3,FALSE),"")</f>
        <v>6</v>
      </c>
      <c r="L393" t="str">
        <f>IFERROR(VLOOKUP($A393,Sheet3!$A:$E,4,FALSE),"")</f>
        <v>2024-09-30T14:31:28.000Z</v>
      </c>
      <c r="M393" t="str">
        <f>IFERROR(VLOOKUP($A393,Sheet3!$A:$E,5,FALSE),"")</f>
        <v>2026-02-14T10:55:29.000Z</v>
      </c>
      <c r="N393" s="4">
        <f t="shared" si="13"/>
        <v>679</v>
      </c>
      <c r="O393" t="s">
        <v>2809</v>
      </c>
    </row>
    <row r="394" spans="1:15" x14ac:dyDescent="0.25">
      <c r="A394" t="s">
        <v>1465</v>
      </c>
      <c r="B394" t="s">
        <v>1313</v>
      </c>
      <c r="C394" t="s">
        <v>11</v>
      </c>
      <c r="D394" t="s">
        <v>910</v>
      </c>
      <c r="E394" t="s">
        <v>911</v>
      </c>
      <c r="F394" t="s">
        <v>1466</v>
      </c>
      <c r="G394" s="4">
        <f t="shared" si="12"/>
        <v>1232.7</v>
      </c>
      <c r="H394" t="s">
        <v>1467</v>
      </c>
      <c r="I394" t="str">
        <f>VLOOKUP(C394,Customers!A:B,2,FALSE)</f>
        <v>2022:11:21</v>
      </c>
      <c r="J394">
        <f>IFERROR(VLOOKUP($A394,Sheet3!$A:$E,2,FALSE),"")</f>
        <v>21</v>
      </c>
      <c r="K394" t="str">
        <f>IFERROR(VLOOKUP($A394,Sheet3!$A:$E,3,FALSE),"")</f>
        <v>10</v>
      </c>
      <c r="L394" t="str">
        <f>IFERROR(VLOOKUP($A394,Sheet3!$A:$E,4,FALSE),"")</f>
        <v>2024-10-07T11:50:23.000Z</v>
      </c>
      <c r="M394" t="str">
        <f>IFERROR(VLOOKUP($A394,Sheet3!$A:$E,5,FALSE),"")</f>
        <v>2026-02-12T04:22:34.000Z</v>
      </c>
      <c r="N394" s="4">
        <f t="shared" si="13"/>
        <v>686</v>
      </c>
      <c r="O394" t="s">
        <v>2808</v>
      </c>
    </row>
    <row r="395" spans="1:15" x14ac:dyDescent="0.25">
      <c r="A395" t="s">
        <v>1468</v>
      </c>
      <c r="B395" t="s">
        <v>1313</v>
      </c>
      <c r="C395" t="s">
        <v>11</v>
      </c>
      <c r="D395" t="s">
        <v>910</v>
      </c>
      <c r="E395" t="s">
        <v>911</v>
      </c>
      <c r="F395" t="s">
        <v>1469</v>
      </c>
      <c r="G395" s="4">
        <f t="shared" si="12"/>
        <v>576.9666666666667</v>
      </c>
      <c r="H395" t="s">
        <v>1470</v>
      </c>
      <c r="I395" t="str">
        <f>VLOOKUP(C395,Customers!A:B,2,FALSE)</f>
        <v>2022:11:21</v>
      </c>
      <c r="J395">
        <f>IFERROR(VLOOKUP($A395,Sheet3!$A:$E,2,FALSE),"")</f>
        <v>12</v>
      </c>
      <c r="K395" t="str">
        <f>IFERROR(VLOOKUP($A395,Sheet3!$A:$E,3,FALSE),"")</f>
        <v>8</v>
      </c>
      <c r="L395" t="str">
        <f>IFERROR(VLOOKUP($A395,Sheet3!$A:$E,4,FALSE),"")</f>
        <v>2024-10-09T05:24:50.000Z</v>
      </c>
      <c r="M395" t="str">
        <f>IFERROR(VLOOKUP($A395,Sheet3!$A:$E,5,FALSE),"")</f>
        <v>2026-02-17T05:14:39.000Z</v>
      </c>
      <c r="N395" s="4">
        <f t="shared" si="13"/>
        <v>688</v>
      </c>
      <c r="O395" t="s">
        <v>2809</v>
      </c>
    </row>
    <row r="396" spans="1:15" x14ac:dyDescent="0.25">
      <c r="A396" t="s">
        <v>1471</v>
      </c>
      <c r="B396" t="s">
        <v>1313</v>
      </c>
      <c r="C396" t="s">
        <v>11</v>
      </c>
      <c r="D396" t="s">
        <v>910</v>
      </c>
      <c r="E396" t="s">
        <v>911</v>
      </c>
      <c r="F396" t="s">
        <v>1472</v>
      </c>
      <c r="G396" s="4">
        <f t="shared" si="12"/>
        <v>394.58333333333331</v>
      </c>
      <c r="H396" t="s">
        <v>1473</v>
      </c>
      <c r="I396" t="str">
        <f>VLOOKUP(C396,Customers!A:B,2,FALSE)</f>
        <v>2022:11:21</v>
      </c>
      <c r="J396">
        <f>IFERROR(VLOOKUP($A396,Sheet3!$A:$E,2,FALSE),"")</f>
        <v>2</v>
      </c>
      <c r="K396" t="str">
        <f>IFERROR(VLOOKUP($A396,Sheet3!$A:$E,3,FALSE),"")</f>
        <v>0</v>
      </c>
      <c r="L396" t="str">
        <f>IFERROR(VLOOKUP($A396,Sheet3!$A:$E,4,FALSE),"")</f>
        <v>2024-09-23T07:18:20.000Z</v>
      </c>
      <c r="M396" t="str">
        <f>IFERROR(VLOOKUP($A396,Sheet3!$A:$E,5,FALSE),"")</f>
        <v>2024-12-13T08:50:17.000Z</v>
      </c>
      <c r="N396" s="4">
        <f t="shared" si="13"/>
        <v>672</v>
      </c>
      <c r="O396" t="s">
        <v>2808</v>
      </c>
    </row>
    <row r="397" spans="1:15" x14ac:dyDescent="0.25">
      <c r="A397" t="s">
        <v>1474</v>
      </c>
      <c r="B397" t="s">
        <v>1313</v>
      </c>
      <c r="C397" t="s">
        <v>11</v>
      </c>
      <c r="D397" t="s">
        <v>910</v>
      </c>
      <c r="E397" t="s">
        <v>911</v>
      </c>
      <c r="F397" t="s">
        <v>1475</v>
      </c>
      <c r="G397" s="4">
        <f t="shared" si="12"/>
        <v>1279.0333333333333</v>
      </c>
      <c r="H397" t="s">
        <v>1476</v>
      </c>
      <c r="I397" t="str">
        <f>VLOOKUP(C397,Customers!A:B,2,FALSE)</f>
        <v>2022:11:21</v>
      </c>
      <c r="J397">
        <f>IFERROR(VLOOKUP($A397,Sheet3!$A:$E,2,FALSE),"")</f>
        <v>38</v>
      </c>
      <c r="K397" t="str">
        <f>IFERROR(VLOOKUP($A397,Sheet3!$A:$E,3,FALSE),"")</f>
        <v>6</v>
      </c>
      <c r="L397" t="str">
        <f>IFERROR(VLOOKUP($A397,Sheet3!$A:$E,4,FALSE),"")</f>
        <v>2024-09-29T07:21:27.000Z</v>
      </c>
      <c r="M397" t="str">
        <f>IFERROR(VLOOKUP($A397,Sheet3!$A:$E,5,FALSE),"")</f>
        <v>2026-04-24T05:54:07.000Z</v>
      </c>
      <c r="N397" s="4">
        <f t="shared" si="13"/>
        <v>678</v>
      </c>
      <c r="O397" t="s">
        <v>2809</v>
      </c>
    </row>
    <row r="398" spans="1:15" x14ac:dyDescent="0.25">
      <c r="A398" t="s">
        <v>1477</v>
      </c>
      <c r="B398" t="s">
        <v>1313</v>
      </c>
      <c r="C398" t="s">
        <v>67</v>
      </c>
      <c r="D398" t="s">
        <v>1478</v>
      </c>
      <c r="E398" t="s">
        <v>1479</v>
      </c>
      <c r="F398" t="s">
        <v>1480</v>
      </c>
      <c r="G398" s="4">
        <f t="shared" si="12"/>
        <v>77.016666666666666</v>
      </c>
      <c r="H398" t="s">
        <v>1481</v>
      </c>
      <c r="I398" t="str">
        <f>VLOOKUP(C398,Customers!A:B,2,FALSE)</f>
        <v>2024:08:14</v>
      </c>
      <c r="J398">
        <f>IFERROR(VLOOKUP($A398,Sheet3!$A:$E,2,FALSE),"")</f>
        <v>5</v>
      </c>
      <c r="K398" t="str">
        <f>IFERROR(VLOOKUP($A398,Sheet3!$A:$E,3,FALSE),"")</f>
        <v>0</v>
      </c>
      <c r="L398" t="str">
        <f>IFERROR(VLOOKUP($A398,Sheet3!$A:$E,4,FALSE),"")</f>
        <v>2024-09-19T04:42:27.000Z</v>
      </c>
      <c r="M398" t="str">
        <f>IFERROR(VLOOKUP($A398,Sheet3!$A:$E,5,FALSE),"")</f>
        <v>2026-02-11T04:38:49.000Z</v>
      </c>
      <c r="N398" s="4">
        <f t="shared" si="13"/>
        <v>36</v>
      </c>
      <c r="O398" t="s">
        <v>2808</v>
      </c>
    </row>
    <row r="399" spans="1:15" x14ac:dyDescent="0.25">
      <c r="A399" t="s">
        <v>1482</v>
      </c>
      <c r="B399" t="s">
        <v>1313</v>
      </c>
      <c r="C399" t="s">
        <v>35</v>
      </c>
      <c r="D399" t="s">
        <v>443</v>
      </c>
      <c r="E399" t="s">
        <v>444</v>
      </c>
      <c r="F399" t="s">
        <v>1483</v>
      </c>
      <c r="G399" s="4">
        <f t="shared" si="12"/>
        <v>390.43333333333334</v>
      </c>
      <c r="H399" t="s">
        <v>1484</v>
      </c>
      <c r="I399" t="str">
        <f>VLOOKUP(C399,Customers!A:B,2,FALSE)</f>
        <v>2024:01:06</v>
      </c>
      <c r="J399">
        <f>IFERROR(VLOOKUP($A399,Sheet3!$A:$E,2,FALSE),"")</f>
        <v>10</v>
      </c>
      <c r="K399" t="str">
        <f>IFERROR(VLOOKUP($A399,Sheet3!$A:$E,3,FALSE),"")</f>
        <v>2</v>
      </c>
      <c r="L399" t="str">
        <f>IFERROR(VLOOKUP($A399,Sheet3!$A:$E,4,FALSE),"")</f>
        <v>2024-09-21T10:39:34.000Z</v>
      </c>
      <c r="M399" t="str">
        <f>IFERROR(VLOOKUP($A399,Sheet3!$A:$E,5,FALSE),"")</f>
        <v>2026-04-17T09:25:01.000Z</v>
      </c>
      <c r="N399" s="4">
        <f t="shared" si="13"/>
        <v>259</v>
      </c>
      <c r="O399" t="s">
        <v>2809</v>
      </c>
    </row>
    <row r="400" spans="1:15" x14ac:dyDescent="0.25">
      <c r="A400" t="s">
        <v>1485</v>
      </c>
      <c r="B400" t="s">
        <v>1313</v>
      </c>
      <c r="C400" t="s">
        <v>35</v>
      </c>
      <c r="D400" t="s">
        <v>443</v>
      </c>
      <c r="E400" t="s">
        <v>444</v>
      </c>
      <c r="F400" t="s">
        <v>1486</v>
      </c>
      <c r="G400" s="4">
        <f t="shared" si="12"/>
        <v>787.08333333333337</v>
      </c>
      <c r="H400" t="s">
        <v>1487</v>
      </c>
      <c r="I400" t="str">
        <f>VLOOKUP(C400,Customers!A:B,2,FALSE)</f>
        <v>2024:01:06</v>
      </c>
      <c r="J400">
        <f>IFERROR(VLOOKUP($A400,Sheet3!$A:$E,2,FALSE),"")</f>
        <v>9</v>
      </c>
      <c r="K400" t="str">
        <f>IFERROR(VLOOKUP($A400,Sheet3!$A:$E,3,FALSE),"")</f>
        <v>0</v>
      </c>
      <c r="L400" t="str">
        <f>IFERROR(VLOOKUP($A400,Sheet3!$A:$E,4,FALSE),"")</f>
        <v>2025-02-08T05:43:29.000Z</v>
      </c>
      <c r="M400" t="str">
        <f>IFERROR(VLOOKUP($A400,Sheet3!$A:$E,5,FALSE),"")</f>
        <v>2026-04-30T12:46:08.000Z</v>
      </c>
      <c r="N400" s="4">
        <f t="shared" si="13"/>
        <v>399</v>
      </c>
      <c r="O400" t="s">
        <v>2808</v>
      </c>
    </row>
    <row r="401" spans="1:15" x14ac:dyDescent="0.25">
      <c r="A401" t="s">
        <v>1488</v>
      </c>
      <c r="B401" t="s">
        <v>1313</v>
      </c>
      <c r="C401" t="s">
        <v>11</v>
      </c>
      <c r="D401" t="s">
        <v>910</v>
      </c>
      <c r="E401" t="s">
        <v>911</v>
      </c>
      <c r="F401" t="s">
        <v>1489</v>
      </c>
      <c r="G401" s="4">
        <f t="shared" si="12"/>
        <v>818.98333333333335</v>
      </c>
      <c r="H401" t="s">
        <v>1490</v>
      </c>
      <c r="I401" t="str">
        <f>VLOOKUP(C401,Customers!A:B,2,FALSE)</f>
        <v>2022:11:21</v>
      </c>
      <c r="J401">
        <f>IFERROR(VLOOKUP($A401,Sheet3!$A:$E,2,FALSE),"")</f>
        <v>23</v>
      </c>
      <c r="K401" t="str">
        <f>IFERROR(VLOOKUP($A401,Sheet3!$A:$E,3,FALSE),"")</f>
        <v>5</v>
      </c>
      <c r="L401" t="str">
        <f>IFERROR(VLOOKUP($A401,Sheet3!$A:$E,4,FALSE),"")</f>
        <v>2024-08-16T11:31:52.000Z</v>
      </c>
      <c r="M401" t="str">
        <f>IFERROR(VLOOKUP($A401,Sheet3!$A:$E,5,FALSE),"")</f>
        <v>2025-11-25T11:12:59.000Z</v>
      </c>
      <c r="N401" s="4">
        <f t="shared" si="13"/>
        <v>634</v>
      </c>
      <c r="O401" t="s">
        <v>2809</v>
      </c>
    </row>
    <row r="402" spans="1:15" x14ac:dyDescent="0.25">
      <c r="A402" t="s">
        <v>1491</v>
      </c>
      <c r="B402" t="s">
        <v>1313</v>
      </c>
      <c r="C402" t="s">
        <v>11</v>
      </c>
      <c r="D402" t="s">
        <v>910</v>
      </c>
      <c r="E402" t="s">
        <v>911</v>
      </c>
      <c r="F402" t="s">
        <v>1492</v>
      </c>
      <c r="G402" s="4">
        <f t="shared" si="12"/>
        <v>1011.0833333333334</v>
      </c>
      <c r="H402" t="s">
        <v>1493</v>
      </c>
      <c r="I402" t="str">
        <f>VLOOKUP(C402,Customers!A:B,2,FALSE)</f>
        <v>2022:11:21</v>
      </c>
      <c r="J402">
        <f>IFERROR(VLOOKUP($A402,Sheet3!$A:$E,2,FALSE),"")</f>
        <v>8</v>
      </c>
      <c r="K402" t="str">
        <f>IFERROR(VLOOKUP($A402,Sheet3!$A:$E,3,FALSE),"")</f>
        <v>1</v>
      </c>
      <c r="L402" t="str">
        <f>IFERROR(VLOOKUP($A402,Sheet3!$A:$E,4,FALSE),"")</f>
        <v>2024-09-13T12:55:19.000Z</v>
      </c>
      <c r="M402" t="str">
        <f>IFERROR(VLOOKUP($A402,Sheet3!$A:$E,5,FALSE),"")</f>
        <v>2025-08-18T06:08:50.000Z</v>
      </c>
      <c r="N402" s="4">
        <f t="shared" si="13"/>
        <v>662</v>
      </c>
      <c r="O402" t="s">
        <v>2808</v>
      </c>
    </row>
    <row r="403" spans="1:15" x14ac:dyDescent="0.25">
      <c r="A403" t="s">
        <v>1494</v>
      </c>
      <c r="B403" t="s">
        <v>1313</v>
      </c>
      <c r="C403" t="s">
        <v>35</v>
      </c>
      <c r="D403" t="s">
        <v>443</v>
      </c>
      <c r="E403" t="s">
        <v>444</v>
      </c>
      <c r="F403" t="s">
        <v>1495</v>
      </c>
      <c r="G403" s="4">
        <f t="shared" si="12"/>
        <v>258.36666666666667</v>
      </c>
      <c r="H403" t="s">
        <v>1496</v>
      </c>
      <c r="I403" t="str">
        <f>VLOOKUP(C403,Customers!A:B,2,FALSE)</f>
        <v>2024:01:06</v>
      </c>
      <c r="J403">
        <f>IFERROR(VLOOKUP($A403,Sheet3!$A:$E,2,FALSE),"")</f>
        <v>9</v>
      </c>
      <c r="K403" t="str">
        <f>IFERROR(VLOOKUP($A403,Sheet3!$A:$E,3,FALSE),"")</f>
        <v>4</v>
      </c>
      <c r="L403" t="str">
        <f>IFERROR(VLOOKUP($A403,Sheet3!$A:$E,4,FALSE),"")</f>
        <v>2024-08-10T05:06:31.000Z</v>
      </c>
      <c r="M403" t="str">
        <f>IFERROR(VLOOKUP($A403,Sheet3!$A:$E,5,FALSE),"")</f>
        <v>2024-09-14T13:33:14.000Z</v>
      </c>
      <c r="N403" s="4">
        <f t="shared" si="13"/>
        <v>217</v>
      </c>
      <c r="O403" t="s">
        <v>2809</v>
      </c>
    </row>
    <row r="404" spans="1:15" x14ac:dyDescent="0.25">
      <c r="A404" t="s">
        <v>1497</v>
      </c>
      <c r="B404" t="s">
        <v>1313</v>
      </c>
      <c r="C404" t="s">
        <v>35</v>
      </c>
      <c r="D404" t="s">
        <v>443</v>
      </c>
      <c r="E404" t="s">
        <v>444</v>
      </c>
      <c r="F404" t="s">
        <v>1498</v>
      </c>
      <c r="G404" s="4">
        <f t="shared" si="12"/>
        <v>1356.35</v>
      </c>
      <c r="H404" t="s">
        <v>1499</v>
      </c>
      <c r="I404" t="str">
        <f>VLOOKUP(C404,Customers!A:B,2,FALSE)</f>
        <v>2024:01:06</v>
      </c>
      <c r="J404">
        <f>IFERROR(VLOOKUP($A404,Sheet3!$A:$E,2,FALSE),"")</f>
        <v>19</v>
      </c>
      <c r="K404" t="str">
        <f>IFERROR(VLOOKUP($A404,Sheet3!$A:$E,3,FALSE),"")</f>
        <v>6</v>
      </c>
      <c r="L404" t="str">
        <f>IFERROR(VLOOKUP($A404,Sheet3!$A:$E,4,FALSE),"")</f>
        <v>2024-08-10T08:24:46.000Z</v>
      </c>
      <c r="M404" t="str">
        <f>IFERROR(VLOOKUP($A404,Sheet3!$A:$E,5,FALSE),"")</f>
        <v>2025-07-23T05:22:14.000Z</v>
      </c>
      <c r="N404" s="4">
        <f t="shared" si="13"/>
        <v>217</v>
      </c>
      <c r="O404" t="s">
        <v>2808</v>
      </c>
    </row>
    <row r="405" spans="1:15" x14ac:dyDescent="0.25">
      <c r="A405" t="s">
        <v>1500</v>
      </c>
      <c r="B405" t="s">
        <v>1313</v>
      </c>
      <c r="C405" t="s">
        <v>11</v>
      </c>
      <c r="D405" t="s">
        <v>910</v>
      </c>
      <c r="E405" t="s">
        <v>911</v>
      </c>
      <c r="F405" t="s">
        <v>1501</v>
      </c>
      <c r="G405" s="4">
        <f t="shared" si="12"/>
        <v>712.36666666666667</v>
      </c>
      <c r="H405" t="s">
        <v>1502</v>
      </c>
      <c r="I405" t="str">
        <f>VLOOKUP(C405,Customers!A:B,2,FALSE)</f>
        <v>2022:11:21</v>
      </c>
      <c r="J405">
        <f>IFERROR(VLOOKUP($A405,Sheet3!$A:$E,2,FALSE),"")</f>
        <v>14</v>
      </c>
      <c r="K405" t="str">
        <f>IFERROR(VLOOKUP($A405,Sheet3!$A:$E,3,FALSE),"")</f>
        <v>4</v>
      </c>
      <c r="L405" t="str">
        <f>IFERROR(VLOOKUP($A405,Sheet3!$A:$E,4,FALSE),"")</f>
        <v>2024-09-12T09:44:07.000Z</v>
      </c>
      <c r="M405" t="str">
        <f>IFERROR(VLOOKUP($A405,Sheet3!$A:$E,5,FALSE),"")</f>
        <v>2026-04-02T11:32:34.000Z</v>
      </c>
      <c r="N405" s="4">
        <f t="shared" si="13"/>
        <v>661</v>
      </c>
      <c r="O405" t="s">
        <v>2809</v>
      </c>
    </row>
    <row r="406" spans="1:15" x14ac:dyDescent="0.25">
      <c r="A406" t="s">
        <v>1503</v>
      </c>
      <c r="B406" t="s">
        <v>1313</v>
      </c>
      <c r="C406" t="s">
        <v>76</v>
      </c>
      <c r="D406" t="s">
        <v>1314</v>
      </c>
      <c r="E406" t="s">
        <v>1315</v>
      </c>
      <c r="F406" t="s">
        <v>1504</v>
      </c>
      <c r="G406" s="4">
        <f t="shared" si="12"/>
        <v>915.15</v>
      </c>
      <c r="H406" t="s">
        <v>1505</v>
      </c>
      <c r="I406" t="str">
        <f>VLOOKUP(C406,Customers!A:B,2,FALSE)</f>
        <v>2024:08:16</v>
      </c>
      <c r="J406">
        <f>IFERROR(VLOOKUP($A406,Sheet3!$A:$E,2,FALSE),"")</f>
        <v>4</v>
      </c>
      <c r="K406" t="str">
        <f>IFERROR(VLOOKUP($A406,Sheet3!$A:$E,3,FALSE),"")</f>
        <v>1</v>
      </c>
      <c r="L406" t="str">
        <f>IFERROR(VLOOKUP($A406,Sheet3!$A:$E,4,FALSE),"")</f>
        <v>2025-09-09T15:17:29.000Z</v>
      </c>
      <c r="M406" t="str">
        <f>IFERROR(VLOOKUP($A406,Sheet3!$A:$E,5,FALSE),"")</f>
        <v>2025-09-20T07:24:06.000Z</v>
      </c>
      <c r="N406" s="4">
        <f t="shared" si="13"/>
        <v>389</v>
      </c>
      <c r="O406" t="s">
        <v>2808</v>
      </c>
    </row>
    <row r="407" spans="1:15" x14ac:dyDescent="0.25">
      <c r="A407" t="s">
        <v>1506</v>
      </c>
      <c r="B407" t="s">
        <v>1313</v>
      </c>
      <c r="C407" t="s">
        <v>76</v>
      </c>
      <c r="D407" t="s">
        <v>1314</v>
      </c>
      <c r="E407" t="s">
        <v>1315</v>
      </c>
      <c r="F407" t="s">
        <v>1507</v>
      </c>
      <c r="G407" s="4">
        <f t="shared" si="12"/>
        <v>799.98333333333335</v>
      </c>
      <c r="H407" t="s">
        <v>1508</v>
      </c>
      <c r="I407" t="str">
        <f>VLOOKUP(C407,Customers!A:B,2,FALSE)</f>
        <v>2024:08:16</v>
      </c>
      <c r="J407">
        <f>IFERROR(VLOOKUP($A407,Sheet3!$A:$E,2,FALSE),"")</f>
        <v>6</v>
      </c>
      <c r="K407" t="str">
        <f>IFERROR(VLOOKUP($A407,Sheet3!$A:$E,3,FALSE),"")</f>
        <v>2</v>
      </c>
      <c r="L407" t="str">
        <f>IFERROR(VLOOKUP($A407,Sheet3!$A:$E,4,FALSE),"")</f>
        <v>2025-08-15T12:15:43.000Z</v>
      </c>
      <c r="M407" t="str">
        <f>IFERROR(VLOOKUP($A407,Sheet3!$A:$E,5,FALSE),"")</f>
        <v>2026-02-15T12:22:37.000Z</v>
      </c>
      <c r="N407" s="4">
        <f t="shared" si="13"/>
        <v>364</v>
      </c>
      <c r="O407" t="s">
        <v>2809</v>
      </c>
    </row>
    <row r="408" spans="1:15" x14ac:dyDescent="0.25">
      <c r="A408" t="s">
        <v>1509</v>
      </c>
      <c r="B408" t="s">
        <v>1313</v>
      </c>
      <c r="C408" t="s">
        <v>76</v>
      </c>
      <c r="D408" t="s">
        <v>1314</v>
      </c>
      <c r="E408" t="s">
        <v>1315</v>
      </c>
      <c r="F408" t="s">
        <v>1510</v>
      </c>
      <c r="G408" s="4">
        <f t="shared" si="12"/>
        <v>826.5</v>
      </c>
      <c r="H408" t="s">
        <v>1511</v>
      </c>
      <c r="I408" t="str">
        <f>VLOOKUP(C408,Customers!A:B,2,FALSE)</f>
        <v>2024:08:16</v>
      </c>
      <c r="J408">
        <f>IFERROR(VLOOKUP($A408,Sheet3!$A:$E,2,FALSE),"")</f>
        <v>8</v>
      </c>
      <c r="K408" t="str">
        <f>IFERROR(VLOOKUP($A408,Sheet3!$A:$E,3,FALSE),"")</f>
        <v>5</v>
      </c>
      <c r="L408" t="str">
        <f>IFERROR(VLOOKUP($A408,Sheet3!$A:$E,4,FALSE),"")</f>
        <v>2025-07-20T13:38:15.000Z</v>
      </c>
      <c r="M408" t="str">
        <f>IFERROR(VLOOKUP($A408,Sheet3!$A:$E,5,FALSE),"")</f>
        <v>2026-01-31T05:25:23.000Z</v>
      </c>
      <c r="N408" s="4">
        <f t="shared" si="13"/>
        <v>338</v>
      </c>
      <c r="O408" t="s">
        <v>2808</v>
      </c>
    </row>
    <row r="409" spans="1:15" x14ac:dyDescent="0.25">
      <c r="A409" t="s">
        <v>1512</v>
      </c>
      <c r="B409" t="s">
        <v>1313</v>
      </c>
      <c r="C409" t="s">
        <v>76</v>
      </c>
      <c r="D409" t="s">
        <v>1314</v>
      </c>
      <c r="E409" t="s">
        <v>1315</v>
      </c>
      <c r="F409" t="s">
        <v>1513</v>
      </c>
      <c r="G409" s="4">
        <f t="shared" si="12"/>
        <v>644.2166666666667</v>
      </c>
      <c r="H409" t="s">
        <v>1514</v>
      </c>
      <c r="I409" t="str">
        <f>VLOOKUP(C409,Customers!A:B,2,FALSE)</f>
        <v>2024:08:16</v>
      </c>
      <c r="J409">
        <f>IFERROR(VLOOKUP($A409,Sheet3!$A:$E,2,FALSE),"")</f>
        <v>6</v>
      </c>
      <c r="K409" t="str">
        <f>IFERROR(VLOOKUP($A409,Sheet3!$A:$E,3,FALSE),"")</f>
        <v>0</v>
      </c>
      <c r="L409" t="str">
        <f>IFERROR(VLOOKUP($A409,Sheet3!$A:$E,4,FALSE),"")</f>
        <v>2025-10-20T04:41:53.000Z</v>
      </c>
      <c r="M409" t="str">
        <f>IFERROR(VLOOKUP($A409,Sheet3!$A:$E,5,FALSE),"")</f>
        <v>2026-02-27T05:58:06.000Z</v>
      </c>
      <c r="N409" s="4">
        <f t="shared" si="13"/>
        <v>430</v>
      </c>
      <c r="O409" t="s">
        <v>2809</v>
      </c>
    </row>
    <row r="410" spans="1:15" x14ac:dyDescent="0.25">
      <c r="A410" t="s">
        <v>1515</v>
      </c>
      <c r="B410" t="s">
        <v>1313</v>
      </c>
      <c r="C410" t="s">
        <v>150</v>
      </c>
      <c r="D410" t="s">
        <v>150</v>
      </c>
      <c r="E410" t="s">
        <v>1516</v>
      </c>
      <c r="F410" t="s">
        <v>1517</v>
      </c>
      <c r="G410" s="4">
        <f t="shared" si="12"/>
        <v>249.63333333333333</v>
      </c>
      <c r="H410" t="s">
        <v>1518</v>
      </c>
      <c r="I410" t="str">
        <f>VLOOKUP(C410,Customers!A:B,2,FALSE)</f>
        <v>2025:12:29</v>
      </c>
      <c r="J410">
        <f>IFERROR(VLOOKUP($A410,Sheet3!$A:$E,2,FALSE),"")</f>
        <v>2</v>
      </c>
      <c r="K410" t="str">
        <f>IFERROR(VLOOKUP($A410,Sheet3!$A:$E,3,FALSE),"")</f>
        <v>1</v>
      </c>
      <c r="L410" t="str">
        <f>IFERROR(VLOOKUP($A410,Sheet3!$A:$E,4,FALSE),"")</f>
        <v>2026-01-07T10:14:31.000Z</v>
      </c>
      <c r="M410" t="str">
        <f>IFERROR(VLOOKUP($A410,Sheet3!$A:$E,5,FALSE),"")</f>
        <v>2026-01-10T11:14:16.000Z</v>
      </c>
      <c r="N410" s="4">
        <f t="shared" si="13"/>
        <v>9</v>
      </c>
      <c r="O410" t="s">
        <v>2808</v>
      </c>
    </row>
    <row r="411" spans="1:15" x14ac:dyDescent="0.25">
      <c r="A411" t="s">
        <v>1519</v>
      </c>
      <c r="B411" t="s">
        <v>1313</v>
      </c>
      <c r="C411" t="s">
        <v>76</v>
      </c>
      <c r="D411" t="s">
        <v>1314</v>
      </c>
      <c r="E411" t="s">
        <v>1315</v>
      </c>
      <c r="F411" t="s">
        <v>1520</v>
      </c>
      <c r="G411" s="4">
        <f t="shared" si="12"/>
        <v>1109.7166666666667</v>
      </c>
      <c r="H411" t="s">
        <v>1521</v>
      </c>
      <c r="I411" t="str">
        <f>VLOOKUP(C411,Customers!A:B,2,FALSE)</f>
        <v>2024:08:16</v>
      </c>
      <c r="J411">
        <f>IFERROR(VLOOKUP($A411,Sheet3!$A:$E,2,FALSE),"")</f>
        <v>8</v>
      </c>
      <c r="K411" t="str">
        <f>IFERROR(VLOOKUP($A411,Sheet3!$A:$E,3,FALSE),"")</f>
        <v>3</v>
      </c>
      <c r="L411" t="str">
        <f>IFERROR(VLOOKUP($A411,Sheet3!$A:$E,4,FALSE),"")</f>
        <v>2025-08-04T10:46:40.000Z</v>
      </c>
      <c r="M411" t="str">
        <f>IFERROR(VLOOKUP($A411,Sheet3!$A:$E,5,FALSE),"")</f>
        <v>2026-01-20T03:12:16.000Z</v>
      </c>
      <c r="N411" s="4">
        <f t="shared" si="13"/>
        <v>353</v>
      </c>
      <c r="O411" t="s">
        <v>2809</v>
      </c>
    </row>
    <row r="412" spans="1:15" x14ac:dyDescent="0.25">
      <c r="A412" t="s">
        <v>1522</v>
      </c>
      <c r="B412" t="s">
        <v>1313</v>
      </c>
      <c r="C412" t="s">
        <v>76</v>
      </c>
      <c r="D412" t="s">
        <v>1314</v>
      </c>
      <c r="E412" t="s">
        <v>1315</v>
      </c>
      <c r="F412" t="s">
        <v>1523</v>
      </c>
      <c r="G412" s="4">
        <f t="shared" si="12"/>
        <v>1165.9333333333334</v>
      </c>
      <c r="H412" t="s">
        <v>1524</v>
      </c>
      <c r="I412" t="str">
        <f>VLOOKUP(C412,Customers!A:B,2,FALSE)</f>
        <v>2024:08:16</v>
      </c>
      <c r="J412">
        <f>IFERROR(VLOOKUP($A412,Sheet3!$A:$E,2,FALSE),"")</f>
        <v>5</v>
      </c>
      <c r="K412" t="str">
        <f>IFERROR(VLOOKUP($A412,Sheet3!$A:$E,3,FALSE),"")</f>
        <v>1</v>
      </c>
      <c r="L412" t="str">
        <f>IFERROR(VLOOKUP($A412,Sheet3!$A:$E,4,FALSE),"")</f>
        <v>2025-08-01T15:56:01.000Z</v>
      </c>
      <c r="M412" t="str">
        <f>IFERROR(VLOOKUP($A412,Sheet3!$A:$E,5,FALSE),"")</f>
        <v>2026-01-26T13:13:33.000Z</v>
      </c>
      <c r="N412" s="4">
        <f t="shared" si="13"/>
        <v>350</v>
      </c>
      <c r="O412" t="s">
        <v>2808</v>
      </c>
    </row>
    <row r="413" spans="1:15" x14ac:dyDescent="0.25">
      <c r="A413" t="s">
        <v>1525</v>
      </c>
      <c r="B413" t="s">
        <v>1313</v>
      </c>
      <c r="C413" t="s">
        <v>76</v>
      </c>
      <c r="D413" t="s">
        <v>1314</v>
      </c>
      <c r="E413" t="s">
        <v>1315</v>
      </c>
      <c r="F413" t="s">
        <v>316</v>
      </c>
      <c r="G413" s="4" t="str">
        <f t="shared" si="12"/>
        <v/>
      </c>
      <c r="H413" t="s">
        <v>198</v>
      </c>
      <c r="I413" t="str">
        <f>VLOOKUP(C413,Customers!A:B,2,FALSE)</f>
        <v>2024:08:16</v>
      </c>
      <c r="J413">
        <f>IFERROR(VLOOKUP($A413,Sheet3!$A:$E,2,FALSE),"")</f>
        <v>3</v>
      </c>
      <c r="K413" t="str">
        <f>IFERROR(VLOOKUP($A413,Sheet3!$A:$E,3,FALSE),"")</f>
        <v>3</v>
      </c>
      <c r="L413" t="str">
        <f>IFERROR(VLOOKUP($A413,Sheet3!$A:$E,4,FALSE),"")</f>
        <v>2025-07-31T11:58:06.000Z</v>
      </c>
      <c r="M413" t="str">
        <f>IFERROR(VLOOKUP($A413,Sheet3!$A:$E,5,FALSE),"")</f>
        <v>2025-08-02T09:50:44.000Z</v>
      </c>
      <c r="N413" s="4">
        <f t="shared" si="13"/>
        <v>349</v>
      </c>
      <c r="O413" t="s">
        <v>2809</v>
      </c>
    </row>
    <row r="414" spans="1:15" x14ac:dyDescent="0.25">
      <c r="A414" t="s">
        <v>1526</v>
      </c>
      <c r="B414" t="s">
        <v>1313</v>
      </c>
      <c r="C414" t="s">
        <v>152</v>
      </c>
      <c r="D414" t="s">
        <v>152</v>
      </c>
      <c r="E414" t="s">
        <v>1527</v>
      </c>
      <c r="F414" t="s">
        <v>1528</v>
      </c>
      <c r="G414" s="4">
        <f t="shared" si="12"/>
        <v>170.56666666666666</v>
      </c>
      <c r="H414" t="s">
        <v>1529</v>
      </c>
      <c r="I414" t="str">
        <f>VLOOKUP(C414,Customers!A:B,2,FALSE)</f>
        <v>2026:01:02</v>
      </c>
      <c r="J414">
        <f>IFERROR(VLOOKUP($A414,Sheet3!$A:$E,2,FALSE),"")</f>
        <v>2</v>
      </c>
      <c r="K414" t="str">
        <f>IFERROR(VLOOKUP($A414,Sheet3!$A:$E,3,FALSE),"")</f>
        <v>0</v>
      </c>
      <c r="L414" t="str">
        <f>IFERROR(VLOOKUP($A414,Sheet3!$A:$E,4,FALSE),"")</f>
        <v>2025-05-22T05:24:44.000Z</v>
      </c>
      <c r="M414" t="str">
        <f>IFERROR(VLOOKUP($A414,Sheet3!$A:$E,5,FALSE),"")</f>
        <v>2026-01-20T05:35:47.000Z</v>
      </c>
      <c r="N414" s="4">
        <f t="shared" si="13"/>
        <v>-225</v>
      </c>
      <c r="O414" t="s">
        <v>2808</v>
      </c>
    </row>
    <row r="415" spans="1:15" x14ac:dyDescent="0.25">
      <c r="A415" t="s">
        <v>1530</v>
      </c>
      <c r="B415" t="s">
        <v>1313</v>
      </c>
      <c r="C415" t="s">
        <v>129</v>
      </c>
      <c r="D415" t="s">
        <v>1531</v>
      </c>
      <c r="E415" t="s">
        <v>1532</v>
      </c>
      <c r="F415" t="s">
        <v>1533</v>
      </c>
      <c r="G415" s="4">
        <f t="shared" si="12"/>
        <v>9.9166666666666661</v>
      </c>
      <c r="H415" t="s">
        <v>1534</v>
      </c>
      <c r="I415" t="str">
        <f>VLOOKUP(C415,Customers!A:B,2,FALSE)</f>
        <v>2025:09:05</v>
      </c>
      <c r="J415">
        <f>IFERROR(VLOOKUP($A415,Sheet3!$A:$E,2,FALSE),"")</f>
        <v>7</v>
      </c>
      <c r="K415" t="str">
        <f>IFERROR(VLOOKUP($A415,Sheet3!$A:$E,3,FALSE),"")</f>
        <v>1</v>
      </c>
      <c r="L415" t="str">
        <f>IFERROR(VLOOKUP($A415,Sheet3!$A:$E,4,FALSE),"")</f>
        <v>2025-05-22T05:22:27.000Z</v>
      </c>
      <c r="M415" t="str">
        <f>IFERROR(VLOOKUP($A415,Sheet3!$A:$E,5,FALSE),"")</f>
        <v>2025-12-30T09:31:26.000Z</v>
      </c>
      <c r="N415" s="4">
        <f t="shared" si="13"/>
        <v>-106</v>
      </c>
      <c r="O415" t="s">
        <v>2809</v>
      </c>
    </row>
    <row r="416" spans="1:15" x14ac:dyDescent="0.25">
      <c r="A416" t="s">
        <v>1535</v>
      </c>
      <c r="B416" t="s">
        <v>1313</v>
      </c>
      <c r="C416" t="s">
        <v>157</v>
      </c>
      <c r="D416" t="s">
        <v>1536</v>
      </c>
      <c r="E416" t="s">
        <v>1537</v>
      </c>
      <c r="F416" t="s">
        <v>1538</v>
      </c>
      <c r="G416" s="4">
        <f t="shared" si="12"/>
        <v>305.41666666666669</v>
      </c>
      <c r="H416" t="s">
        <v>1539</v>
      </c>
      <c r="I416" t="str">
        <f>VLOOKUP(C416,Customers!A:B,2,FALSE)</f>
        <v>2026:03:04</v>
      </c>
      <c r="J416">
        <f>IFERROR(VLOOKUP($A416,Sheet3!$A:$E,2,FALSE),"")</f>
        <v>4</v>
      </c>
      <c r="K416" t="str">
        <f>IFERROR(VLOOKUP($A416,Sheet3!$A:$E,3,FALSE),"")</f>
        <v>1</v>
      </c>
      <c r="L416" t="str">
        <f>IFERROR(VLOOKUP($A416,Sheet3!$A:$E,4,FALSE),"")</f>
        <v>2026-04-09T04:26:26.000Z</v>
      </c>
      <c r="M416" t="str">
        <f>IFERROR(VLOOKUP($A416,Sheet3!$A:$E,5,FALSE),"")</f>
        <v>2026-04-24T11:38:11.000Z</v>
      </c>
      <c r="N416" s="4">
        <f t="shared" si="13"/>
        <v>36</v>
      </c>
      <c r="O416" t="s">
        <v>2808</v>
      </c>
    </row>
    <row r="417" spans="1:15" x14ac:dyDescent="0.25">
      <c r="A417" t="s">
        <v>1540</v>
      </c>
      <c r="B417" t="s">
        <v>1313</v>
      </c>
      <c r="C417" t="s">
        <v>125</v>
      </c>
      <c r="D417" t="s">
        <v>972</v>
      </c>
      <c r="E417" t="s">
        <v>973</v>
      </c>
      <c r="F417" t="s">
        <v>1541</v>
      </c>
      <c r="G417" s="4">
        <f t="shared" si="12"/>
        <v>52</v>
      </c>
      <c r="H417" t="s">
        <v>1542</v>
      </c>
      <c r="I417" t="str">
        <f>VLOOKUP(C417,Customers!A:B,2,FALSE)</f>
        <v>2025:08:21</v>
      </c>
      <c r="J417">
        <f>IFERROR(VLOOKUP($A417,Sheet3!$A:$E,2,FALSE),"")</f>
        <v>1</v>
      </c>
      <c r="K417" t="str">
        <f>IFERROR(VLOOKUP($A417,Sheet3!$A:$E,3,FALSE),"")</f>
        <v>0</v>
      </c>
      <c r="L417" t="str">
        <f>IFERROR(VLOOKUP($A417,Sheet3!$A:$E,4,FALSE),"")</f>
        <v>2026-05-05T10:42:12.000Z</v>
      </c>
      <c r="M417" t="str">
        <f>IFERROR(VLOOKUP($A417,Sheet3!$A:$E,5,FALSE),"")</f>
        <v>2026-05-05T10:42:12.000Z</v>
      </c>
      <c r="N417" s="4">
        <f t="shared" si="13"/>
        <v>257</v>
      </c>
      <c r="O417" t="s">
        <v>2809</v>
      </c>
    </row>
    <row r="418" spans="1:15" x14ac:dyDescent="0.25">
      <c r="A418" t="s">
        <v>1543</v>
      </c>
      <c r="B418" t="s">
        <v>1313</v>
      </c>
      <c r="C418" t="s">
        <v>125</v>
      </c>
      <c r="D418" t="s">
        <v>972</v>
      </c>
      <c r="E418" t="s">
        <v>973</v>
      </c>
      <c r="F418" t="s">
        <v>1544</v>
      </c>
      <c r="G418" s="4">
        <f t="shared" si="12"/>
        <v>26.216666666666665</v>
      </c>
      <c r="H418" t="s">
        <v>1545</v>
      </c>
      <c r="I418" t="str">
        <f>VLOOKUP(C418,Customers!A:B,2,FALSE)</f>
        <v>2025:08:21</v>
      </c>
      <c r="J418">
        <f>IFERROR(VLOOKUP($A418,Sheet3!$A:$E,2,FALSE),"")</f>
        <v>3</v>
      </c>
      <c r="K418" t="str">
        <f>IFERROR(VLOOKUP($A418,Sheet3!$A:$E,3,FALSE),"")</f>
        <v>2</v>
      </c>
      <c r="L418" t="str">
        <f>IFERROR(VLOOKUP($A418,Sheet3!$A:$E,4,FALSE),"")</f>
        <v>2025-05-19T06:52:37.000Z</v>
      </c>
      <c r="M418" t="str">
        <f>IFERROR(VLOOKUP($A418,Sheet3!$A:$E,5,FALSE),"")</f>
        <v>2026-04-24T04:45:06.000Z</v>
      </c>
      <c r="N418" s="4">
        <f t="shared" si="13"/>
        <v>-94</v>
      </c>
      <c r="O418" t="s">
        <v>2808</v>
      </c>
    </row>
    <row r="419" spans="1:15" x14ac:dyDescent="0.25">
      <c r="A419" t="s">
        <v>1546</v>
      </c>
      <c r="B419" t="s">
        <v>1313</v>
      </c>
      <c r="C419" t="s">
        <v>135</v>
      </c>
      <c r="D419" t="s">
        <v>1547</v>
      </c>
      <c r="E419" t="s">
        <v>1548</v>
      </c>
      <c r="F419" t="s">
        <v>1549</v>
      </c>
      <c r="G419" s="4">
        <f t="shared" si="12"/>
        <v>1408.9833333333333</v>
      </c>
      <c r="H419" t="s">
        <v>1550</v>
      </c>
      <c r="I419" t="str">
        <f>VLOOKUP(C419,Customers!A:B,2,FALSE)</f>
        <v>2025:09:16</v>
      </c>
      <c r="J419">
        <f>IFERROR(VLOOKUP($A419,Sheet3!$A:$E,2,FALSE),"")</f>
        <v>6</v>
      </c>
      <c r="K419" t="str">
        <f>IFERROR(VLOOKUP($A419,Sheet3!$A:$E,3,FALSE),"")</f>
        <v>1</v>
      </c>
      <c r="L419" t="str">
        <f>IFERROR(VLOOKUP($A419,Sheet3!$A:$E,4,FALSE),"")</f>
        <v>2025-10-10T06:56:41.000Z</v>
      </c>
      <c r="M419" t="str">
        <f>IFERROR(VLOOKUP($A419,Sheet3!$A:$E,5,FALSE),"")</f>
        <v>2026-04-02T06:54:07.000Z</v>
      </c>
      <c r="N419" s="4">
        <f t="shared" si="13"/>
        <v>24</v>
      </c>
      <c r="O419" t="s">
        <v>2809</v>
      </c>
    </row>
    <row r="420" spans="1:15" x14ac:dyDescent="0.25">
      <c r="A420" t="s">
        <v>1551</v>
      </c>
      <c r="B420" t="s">
        <v>1313</v>
      </c>
      <c r="C420" t="s">
        <v>136</v>
      </c>
      <c r="D420" t="s">
        <v>136</v>
      </c>
      <c r="E420" t="s">
        <v>1552</v>
      </c>
      <c r="F420" t="s">
        <v>1553</v>
      </c>
      <c r="G420" s="4">
        <f t="shared" si="12"/>
        <v>921.13333333333333</v>
      </c>
      <c r="H420" t="s">
        <v>1554</v>
      </c>
      <c r="I420" t="str">
        <f>VLOOKUP(C420,Customers!A:B,2,FALSE)</f>
        <v>2025:09:17</v>
      </c>
      <c r="J420">
        <f>IFERROR(VLOOKUP($A420,Sheet3!$A:$E,2,FALSE),"")</f>
        <v>8</v>
      </c>
      <c r="K420" t="str">
        <f>IFERROR(VLOOKUP($A420,Sheet3!$A:$E,3,FALSE),"")</f>
        <v>1</v>
      </c>
      <c r="L420" t="str">
        <f>IFERROR(VLOOKUP($A420,Sheet3!$A:$E,4,FALSE),"")</f>
        <v>2025-09-26T08:59:30.000Z</v>
      </c>
      <c r="M420" t="str">
        <f>IFERROR(VLOOKUP($A420,Sheet3!$A:$E,5,FALSE),"")</f>
        <v>2026-04-20T08:53:03.000Z</v>
      </c>
      <c r="N420" s="4">
        <f t="shared" si="13"/>
        <v>9</v>
      </c>
      <c r="O420" t="s">
        <v>2808</v>
      </c>
    </row>
    <row r="421" spans="1:15" x14ac:dyDescent="0.25">
      <c r="A421" t="s">
        <v>1555</v>
      </c>
      <c r="B421" t="s">
        <v>1313</v>
      </c>
      <c r="C421" t="s">
        <v>154</v>
      </c>
      <c r="D421" t="s">
        <v>1556</v>
      </c>
      <c r="E421" t="s">
        <v>1557</v>
      </c>
      <c r="F421" t="s">
        <v>1558</v>
      </c>
      <c r="G421" s="4">
        <f t="shared" si="12"/>
        <v>88.766666666666666</v>
      </c>
      <c r="H421" t="s">
        <v>1559</v>
      </c>
      <c r="I421" t="str">
        <f>VLOOKUP(C421,Customers!A:B,2,FALSE)</f>
        <v>2026:02:18</v>
      </c>
      <c r="J421" t="str">
        <f>IFERROR(VLOOKUP($A421,Sheet3!$A:$E,2,FALSE),"")</f>
        <v/>
      </c>
      <c r="K421" t="str">
        <f>IFERROR(VLOOKUP($A421,Sheet3!$A:$E,3,FALSE),"")</f>
        <v/>
      </c>
      <c r="L421" t="str">
        <f>IFERROR(VLOOKUP($A421,Sheet3!$A:$E,4,FALSE),"")</f>
        <v/>
      </c>
      <c r="M421" t="str">
        <f>IFERROR(VLOOKUP($A421,Sheet3!$A:$E,5,FALSE),"")</f>
        <v/>
      </c>
      <c r="N421" s="4" t="str">
        <f t="shared" si="13"/>
        <v/>
      </c>
      <c r="O421" t="s">
        <v>2809</v>
      </c>
    </row>
    <row r="422" spans="1:15" x14ac:dyDescent="0.25">
      <c r="A422" t="s">
        <v>1560</v>
      </c>
      <c r="B422" t="s">
        <v>1313</v>
      </c>
      <c r="C422" t="s">
        <v>125</v>
      </c>
      <c r="D422" t="s">
        <v>972</v>
      </c>
      <c r="E422" t="s">
        <v>973</v>
      </c>
      <c r="F422" t="s">
        <v>1561</v>
      </c>
      <c r="G422" s="4">
        <f t="shared" si="12"/>
        <v>1435.0333333333333</v>
      </c>
      <c r="H422" t="s">
        <v>1562</v>
      </c>
      <c r="I422" t="str">
        <f>VLOOKUP(C422,Customers!A:B,2,FALSE)</f>
        <v>2025:08:21</v>
      </c>
      <c r="J422">
        <f>IFERROR(VLOOKUP($A422,Sheet3!$A:$E,2,FALSE),"")</f>
        <v>5</v>
      </c>
      <c r="K422" t="str">
        <f>IFERROR(VLOOKUP($A422,Sheet3!$A:$E,3,FALSE),"")</f>
        <v>1</v>
      </c>
      <c r="L422" t="str">
        <f>IFERROR(VLOOKUP($A422,Sheet3!$A:$E,4,FALSE),"")</f>
        <v>2025-05-20T04:01:05.000Z</v>
      </c>
      <c r="M422" t="str">
        <f>IFERROR(VLOOKUP($A422,Sheet3!$A:$E,5,FALSE),"")</f>
        <v>2026-03-03T12:09:37.000Z</v>
      </c>
      <c r="N422" s="4">
        <f t="shared" si="13"/>
        <v>-93</v>
      </c>
      <c r="O422" t="s">
        <v>2808</v>
      </c>
    </row>
    <row r="423" spans="1:15" x14ac:dyDescent="0.25">
      <c r="A423" t="s">
        <v>1563</v>
      </c>
      <c r="B423" t="s">
        <v>1313</v>
      </c>
      <c r="C423" t="s">
        <v>125</v>
      </c>
      <c r="D423" t="s">
        <v>972</v>
      </c>
      <c r="E423" t="s">
        <v>973</v>
      </c>
      <c r="F423" t="s">
        <v>1564</v>
      </c>
      <c r="G423" s="4">
        <f t="shared" si="12"/>
        <v>28.2</v>
      </c>
      <c r="H423" t="s">
        <v>1565</v>
      </c>
      <c r="I423" t="str">
        <f>VLOOKUP(C423,Customers!A:B,2,FALSE)</f>
        <v>2025:08:21</v>
      </c>
      <c r="J423" t="str">
        <f>IFERROR(VLOOKUP($A423,Sheet3!$A:$E,2,FALSE),"")</f>
        <v/>
      </c>
      <c r="K423" t="str">
        <f>IFERROR(VLOOKUP($A423,Sheet3!$A:$E,3,FALSE),"")</f>
        <v/>
      </c>
      <c r="L423" t="str">
        <f>IFERROR(VLOOKUP($A423,Sheet3!$A:$E,4,FALSE),"")</f>
        <v/>
      </c>
      <c r="M423" t="str">
        <f>IFERROR(VLOOKUP($A423,Sheet3!$A:$E,5,FALSE),"")</f>
        <v/>
      </c>
      <c r="N423" s="4" t="str">
        <f t="shared" si="13"/>
        <v/>
      </c>
      <c r="O423" t="s">
        <v>2809</v>
      </c>
    </row>
    <row r="424" spans="1:15" x14ac:dyDescent="0.25">
      <c r="A424" t="s">
        <v>1566</v>
      </c>
      <c r="B424" t="s">
        <v>1313</v>
      </c>
      <c r="C424" t="s">
        <v>157</v>
      </c>
      <c r="D424" t="s">
        <v>1536</v>
      </c>
      <c r="E424" t="s">
        <v>1537</v>
      </c>
      <c r="F424" t="s">
        <v>1567</v>
      </c>
      <c r="G424" s="4">
        <f t="shared" si="12"/>
        <v>144.01666666666668</v>
      </c>
      <c r="H424" t="s">
        <v>1568</v>
      </c>
      <c r="I424" t="str">
        <f>VLOOKUP(C424,Customers!A:B,2,FALSE)</f>
        <v>2026:03:04</v>
      </c>
      <c r="J424">
        <f>IFERROR(VLOOKUP($A424,Sheet3!$A:$E,2,FALSE),"")</f>
        <v>3</v>
      </c>
      <c r="K424" t="str">
        <f>IFERROR(VLOOKUP($A424,Sheet3!$A:$E,3,FALSE),"")</f>
        <v>1</v>
      </c>
      <c r="L424" t="str">
        <f>IFERROR(VLOOKUP($A424,Sheet3!$A:$E,4,FALSE),"")</f>
        <v>2026-03-19T15:33:09.000Z</v>
      </c>
      <c r="M424" t="str">
        <f>IFERROR(VLOOKUP($A424,Sheet3!$A:$E,5,FALSE),"")</f>
        <v>2026-05-02T08:48:48.000Z</v>
      </c>
      <c r="N424" s="4">
        <f t="shared" si="13"/>
        <v>15</v>
      </c>
      <c r="O424" t="s">
        <v>2808</v>
      </c>
    </row>
    <row r="425" spans="1:15" x14ac:dyDescent="0.25">
      <c r="A425" t="s">
        <v>1569</v>
      </c>
      <c r="B425" t="s">
        <v>1313</v>
      </c>
      <c r="C425" t="s">
        <v>157</v>
      </c>
      <c r="D425" t="s">
        <v>1536</v>
      </c>
      <c r="E425" t="s">
        <v>1537</v>
      </c>
      <c r="F425" t="s">
        <v>1570</v>
      </c>
      <c r="G425" s="4">
        <f t="shared" si="12"/>
        <v>33.833333333333336</v>
      </c>
      <c r="H425" t="s">
        <v>1571</v>
      </c>
      <c r="I425" t="str">
        <f>VLOOKUP(C425,Customers!A:B,2,FALSE)</f>
        <v>2026:03:04</v>
      </c>
      <c r="J425">
        <f>IFERROR(VLOOKUP($A425,Sheet3!$A:$E,2,FALSE),"")</f>
        <v>1</v>
      </c>
      <c r="K425" t="str">
        <f>IFERROR(VLOOKUP($A425,Sheet3!$A:$E,3,FALSE),"")</f>
        <v>1</v>
      </c>
      <c r="L425" t="str">
        <f>IFERROR(VLOOKUP($A425,Sheet3!$A:$E,4,FALSE),"")</f>
        <v>2026-04-01T11:41:33.000Z</v>
      </c>
      <c r="M425" t="str">
        <f>IFERROR(VLOOKUP($A425,Sheet3!$A:$E,5,FALSE),"")</f>
        <v>2026-04-01T11:41:33.000Z</v>
      </c>
      <c r="N425" s="4">
        <f t="shared" si="13"/>
        <v>28</v>
      </c>
      <c r="O425" t="s">
        <v>2809</v>
      </c>
    </row>
    <row r="426" spans="1:15" x14ac:dyDescent="0.25">
      <c r="A426" t="s">
        <v>1572</v>
      </c>
      <c r="B426" t="s">
        <v>1313</v>
      </c>
      <c r="C426" t="s">
        <v>125</v>
      </c>
      <c r="D426" t="s">
        <v>972</v>
      </c>
      <c r="E426" t="s">
        <v>973</v>
      </c>
      <c r="F426" t="s">
        <v>1573</v>
      </c>
      <c r="G426" s="4">
        <f t="shared" si="12"/>
        <v>72.783333333333331</v>
      </c>
      <c r="H426" t="s">
        <v>1574</v>
      </c>
      <c r="I426" t="str">
        <f>VLOOKUP(C426,Customers!A:B,2,FALSE)</f>
        <v>2025:08:21</v>
      </c>
      <c r="J426" t="str">
        <f>IFERROR(VLOOKUP($A426,Sheet3!$A:$E,2,FALSE),"")</f>
        <v/>
      </c>
      <c r="K426" t="str">
        <f>IFERROR(VLOOKUP($A426,Sheet3!$A:$E,3,FALSE),"")</f>
        <v/>
      </c>
      <c r="L426" t="str">
        <f>IFERROR(VLOOKUP($A426,Sheet3!$A:$E,4,FALSE),"")</f>
        <v/>
      </c>
      <c r="M426" t="str">
        <f>IFERROR(VLOOKUP($A426,Sheet3!$A:$E,5,FALSE),"")</f>
        <v/>
      </c>
      <c r="N426" s="4" t="str">
        <f t="shared" si="13"/>
        <v/>
      </c>
      <c r="O426" t="s">
        <v>2808</v>
      </c>
    </row>
    <row r="427" spans="1:15" x14ac:dyDescent="0.25">
      <c r="A427" t="s">
        <v>1575</v>
      </c>
      <c r="B427" t="s">
        <v>1313</v>
      </c>
      <c r="C427" t="s">
        <v>125</v>
      </c>
      <c r="D427" t="s">
        <v>972</v>
      </c>
      <c r="E427" t="s">
        <v>973</v>
      </c>
      <c r="F427" t="s">
        <v>1576</v>
      </c>
      <c r="G427" s="4">
        <f t="shared" si="12"/>
        <v>55.716666666666669</v>
      </c>
      <c r="H427" t="s">
        <v>1577</v>
      </c>
      <c r="I427" t="str">
        <f>VLOOKUP(C427,Customers!A:B,2,FALSE)</f>
        <v>2025:08:21</v>
      </c>
      <c r="J427" t="str">
        <f>IFERROR(VLOOKUP($A427,Sheet3!$A:$E,2,FALSE),"")</f>
        <v/>
      </c>
      <c r="K427" t="str">
        <f>IFERROR(VLOOKUP($A427,Sheet3!$A:$E,3,FALSE),"")</f>
        <v/>
      </c>
      <c r="L427" t="str">
        <f>IFERROR(VLOOKUP($A427,Sheet3!$A:$E,4,FALSE),"")</f>
        <v/>
      </c>
      <c r="M427" t="str">
        <f>IFERROR(VLOOKUP($A427,Sheet3!$A:$E,5,FALSE),"")</f>
        <v/>
      </c>
      <c r="N427" s="4" t="str">
        <f t="shared" si="13"/>
        <v/>
      </c>
      <c r="O427" t="s">
        <v>2809</v>
      </c>
    </row>
    <row r="428" spans="1:15" x14ac:dyDescent="0.25">
      <c r="A428" t="s">
        <v>1578</v>
      </c>
      <c r="B428" t="s">
        <v>1313</v>
      </c>
      <c r="C428" t="s">
        <v>11</v>
      </c>
      <c r="D428" t="s">
        <v>910</v>
      </c>
      <c r="E428" t="s">
        <v>911</v>
      </c>
      <c r="F428" t="s">
        <v>1579</v>
      </c>
      <c r="G428" s="4">
        <f t="shared" si="12"/>
        <v>736.33333333333337</v>
      </c>
      <c r="H428" t="s">
        <v>1580</v>
      </c>
      <c r="I428" t="str">
        <f>VLOOKUP(C428,Customers!A:B,2,FALSE)</f>
        <v>2022:11:21</v>
      </c>
      <c r="J428">
        <f>IFERROR(VLOOKUP($A428,Sheet3!$A:$E,2,FALSE),"")</f>
        <v>2</v>
      </c>
      <c r="K428" t="str">
        <f>IFERROR(VLOOKUP($A428,Sheet3!$A:$E,3,FALSE),"")</f>
        <v>1</v>
      </c>
      <c r="L428" t="str">
        <f>IFERROR(VLOOKUP($A428,Sheet3!$A:$E,4,FALSE),"")</f>
        <v>2026-01-30T12:15:49.000Z</v>
      </c>
      <c r="M428" t="str">
        <f>IFERROR(VLOOKUP($A428,Sheet3!$A:$E,5,FALSE),"")</f>
        <v>2026-04-23T06:51:30.000Z</v>
      </c>
      <c r="N428" s="4">
        <f t="shared" si="13"/>
        <v>1166</v>
      </c>
      <c r="O428" t="s">
        <v>2808</v>
      </c>
    </row>
    <row r="429" spans="1:15" x14ac:dyDescent="0.25">
      <c r="A429" t="s">
        <v>1581</v>
      </c>
      <c r="B429" t="s">
        <v>1313</v>
      </c>
      <c r="C429" t="s">
        <v>144</v>
      </c>
      <c r="D429" t="s">
        <v>1582</v>
      </c>
      <c r="E429" t="s">
        <v>1583</v>
      </c>
      <c r="F429" t="s">
        <v>1584</v>
      </c>
      <c r="G429" s="4">
        <f t="shared" si="12"/>
        <v>1041.6833333333334</v>
      </c>
      <c r="H429" t="s">
        <v>1585</v>
      </c>
      <c r="I429" t="str">
        <f>VLOOKUP(C429,Customers!A:B,2,FALSE)</f>
        <v>2025:10:28</v>
      </c>
      <c r="J429">
        <f>IFERROR(VLOOKUP($A429,Sheet3!$A:$E,2,FALSE),"")</f>
        <v>24</v>
      </c>
      <c r="K429" t="str">
        <f>IFERROR(VLOOKUP($A429,Sheet3!$A:$E,3,FALSE),"")</f>
        <v>3</v>
      </c>
      <c r="L429" t="str">
        <f>IFERROR(VLOOKUP($A429,Sheet3!$A:$E,4,FALSE),"")</f>
        <v>2025-07-16T04:14:44.000Z</v>
      </c>
      <c r="M429" t="str">
        <f>IFERROR(VLOOKUP($A429,Sheet3!$A:$E,5,FALSE),"")</f>
        <v>2026-02-18T05:06:46.000Z</v>
      </c>
      <c r="N429" s="4">
        <f t="shared" si="13"/>
        <v>-104</v>
      </c>
      <c r="O429" t="s">
        <v>2809</v>
      </c>
    </row>
    <row r="430" spans="1:15" x14ac:dyDescent="0.25">
      <c r="A430" t="s">
        <v>1586</v>
      </c>
      <c r="B430" t="s">
        <v>1313</v>
      </c>
      <c r="C430" t="s">
        <v>125</v>
      </c>
      <c r="D430" t="s">
        <v>972</v>
      </c>
      <c r="E430" t="s">
        <v>973</v>
      </c>
      <c r="F430" t="s">
        <v>1587</v>
      </c>
      <c r="G430" s="4">
        <f t="shared" si="12"/>
        <v>100.06666666666666</v>
      </c>
      <c r="H430" t="s">
        <v>1588</v>
      </c>
      <c r="I430" t="str">
        <f>VLOOKUP(C430,Customers!A:B,2,FALSE)</f>
        <v>2025:08:21</v>
      </c>
      <c r="J430" t="str">
        <f>IFERROR(VLOOKUP($A430,Sheet3!$A:$E,2,FALSE),"")</f>
        <v/>
      </c>
      <c r="K430" t="str">
        <f>IFERROR(VLOOKUP($A430,Sheet3!$A:$E,3,FALSE),"")</f>
        <v/>
      </c>
      <c r="L430" t="str">
        <f>IFERROR(VLOOKUP($A430,Sheet3!$A:$E,4,FALSE),"")</f>
        <v/>
      </c>
      <c r="M430" t="str">
        <f>IFERROR(VLOOKUP($A430,Sheet3!$A:$E,5,FALSE),"")</f>
        <v/>
      </c>
      <c r="N430" s="4" t="str">
        <f t="shared" si="13"/>
        <v/>
      </c>
      <c r="O430" t="s">
        <v>2808</v>
      </c>
    </row>
    <row r="431" spans="1:15" x14ac:dyDescent="0.25">
      <c r="A431" t="s">
        <v>1589</v>
      </c>
      <c r="B431" t="s">
        <v>1313</v>
      </c>
      <c r="C431" t="s">
        <v>125</v>
      </c>
      <c r="D431" t="s">
        <v>972</v>
      </c>
      <c r="E431" t="s">
        <v>973</v>
      </c>
      <c r="F431" t="s">
        <v>1590</v>
      </c>
      <c r="G431" s="4">
        <f t="shared" si="12"/>
        <v>787.55</v>
      </c>
      <c r="H431" t="s">
        <v>1591</v>
      </c>
      <c r="I431" t="str">
        <f>VLOOKUP(C431,Customers!A:B,2,FALSE)</f>
        <v>2025:08:21</v>
      </c>
      <c r="J431">
        <f>IFERROR(VLOOKUP($A431,Sheet3!$A:$E,2,FALSE),"")</f>
        <v>2</v>
      </c>
      <c r="K431" t="str">
        <f>IFERROR(VLOOKUP($A431,Sheet3!$A:$E,3,FALSE),"")</f>
        <v>1</v>
      </c>
      <c r="L431" t="str">
        <f>IFERROR(VLOOKUP($A431,Sheet3!$A:$E,4,FALSE),"")</f>
        <v>2026-03-15T09:27:03.000Z</v>
      </c>
      <c r="M431" t="str">
        <f>IFERROR(VLOOKUP($A431,Sheet3!$A:$E,5,FALSE),"")</f>
        <v>2026-04-10T05:34:40.000Z</v>
      </c>
      <c r="N431" s="4">
        <f t="shared" si="13"/>
        <v>206</v>
      </c>
      <c r="O431" t="s">
        <v>2809</v>
      </c>
    </row>
    <row r="432" spans="1:15" x14ac:dyDescent="0.25">
      <c r="A432" t="s">
        <v>1592</v>
      </c>
      <c r="B432" t="s">
        <v>1313</v>
      </c>
      <c r="C432" t="s">
        <v>147</v>
      </c>
      <c r="D432" t="s">
        <v>1593</v>
      </c>
      <c r="E432" t="s">
        <v>1594</v>
      </c>
      <c r="F432" t="s">
        <v>1595</v>
      </c>
      <c r="G432" s="4">
        <f t="shared" si="12"/>
        <v>31.6</v>
      </c>
      <c r="H432" t="s">
        <v>1596</v>
      </c>
      <c r="I432" t="str">
        <f>VLOOKUP(C432,Customers!A:B,2,FALSE)</f>
        <v>2025:10:28</v>
      </c>
      <c r="J432" t="str">
        <f>IFERROR(VLOOKUP($A432,Sheet3!$A:$E,2,FALSE),"")</f>
        <v/>
      </c>
      <c r="K432" t="str">
        <f>IFERROR(VLOOKUP($A432,Sheet3!$A:$E,3,FALSE),"")</f>
        <v/>
      </c>
      <c r="L432" t="str">
        <f>IFERROR(VLOOKUP($A432,Sheet3!$A:$E,4,FALSE),"")</f>
        <v/>
      </c>
      <c r="M432" t="str">
        <f>IFERROR(VLOOKUP($A432,Sheet3!$A:$E,5,FALSE),"")</f>
        <v/>
      </c>
      <c r="N432" s="4" t="str">
        <f t="shared" si="13"/>
        <v/>
      </c>
      <c r="O432" t="s">
        <v>2808</v>
      </c>
    </row>
    <row r="433" spans="1:15" x14ac:dyDescent="0.25">
      <c r="A433" t="s">
        <v>1597</v>
      </c>
      <c r="B433" t="s">
        <v>1313</v>
      </c>
      <c r="C433" t="s">
        <v>146</v>
      </c>
      <c r="D433" t="s">
        <v>146</v>
      </c>
      <c r="E433" t="s">
        <v>1598</v>
      </c>
      <c r="F433" t="s">
        <v>1599</v>
      </c>
      <c r="G433" s="4">
        <f t="shared" si="12"/>
        <v>530.7833333333333</v>
      </c>
      <c r="H433" t="s">
        <v>1600</v>
      </c>
      <c r="I433" t="str">
        <f>VLOOKUP(C433,Customers!A:B,2,FALSE)</f>
        <v>2025:10:28</v>
      </c>
      <c r="J433">
        <f>IFERROR(VLOOKUP($A433,Sheet3!$A:$E,2,FALSE),"")</f>
        <v>3</v>
      </c>
      <c r="K433" t="str">
        <f>IFERROR(VLOOKUP($A433,Sheet3!$A:$E,3,FALSE),"")</f>
        <v>1</v>
      </c>
      <c r="L433" t="str">
        <f>IFERROR(VLOOKUP($A433,Sheet3!$A:$E,4,FALSE),"")</f>
        <v>2025-11-02T08:35:53.000Z</v>
      </c>
      <c r="M433" t="str">
        <f>IFERROR(VLOOKUP($A433,Sheet3!$A:$E,5,FALSE),"")</f>
        <v>2026-02-15T07:51:27.000Z</v>
      </c>
      <c r="N433" s="4">
        <f t="shared" si="13"/>
        <v>5</v>
      </c>
      <c r="O433" t="s">
        <v>2809</v>
      </c>
    </row>
    <row r="434" spans="1:15" x14ac:dyDescent="0.25">
      <c r="A434" t="s">
        <v>1601</v>
      </c>
      <c r="B434" t="s">
        <v>1313</v>
      </c>
      <c r="C434" t="s">
        <v>147</v>
      </c>
      <c r="D434" t="s">
        <v>1593</v>
      </c>
      <c r="E434" t="s">
        <v>1594</v>
      </c>
      <c r="F434" t="s">
        <v>1602</v>
      </c>
      <c r="G434" s="4">
        <f t="shared" si="12"/>
        <v>14.566666666666666</v>
      </c>
      <c r="H434" t="s">
        <v>1603</v>
      </c>
      <c r="I434" t="str">
        <f>VLOOKUP(C434,Customers!A:B,2,FALSE)</f>
        <v>2025:10:28</v>
      </c>
      <c r="J434" t="str">
        <f>IFERROR(VLOOKUP($A434,Sheet3!$A:$E,2,FALSE),"")</f>
        <v/>
      </c>
      <c r="K434" t="str">
        <f>IFERROR(VLOOKUP($A434,Sheet3!$A:$E,3,FALSE),"")</f>
        <v/>
      </c>
      <c r="L434" t="str">
        <f>IFERROR(VLOOKUP($A434,Sheet3!$A:$E,4,FALSE),"")</f>
        <v/>
      </c>
      <c r="M434" t="str">
        <f>IFERROR(VLOOKUP($A434,Sheet3!$A:$E,5,FALSE),"")</f>
        <v/>
      </c>
      <c r="N434" s="4" t="str">
        <f t="shared" si="13"/>
        <v/>
      </c>
      <c r="O434" t="s">
        <v>2808</v>
      </c>
    </row>
    <row r="435" spans="1:15" x14ac:dyDescent="0.25">
      <c r="A435" t="s">
        <v>1604</v>
      </c>
      <c r="B435" t="s">
        <v>1313</v>
      </c>
      <c r="C435" t="s">
        <v>129</v>
      </c>
      <c r="D435" t="s">
        <v>1531</v>
      </c>
      <c r="E435" t="s">
        <v>1532</v>
      </c>
      <c r="F435" t="s">
        <v>1605</v>
      </c>
      <c r="G435" s="4">
        <f t="shared" si="12"/>
        <v>69.716666666666669</v>
      </c>
      <c r="H435" t="s">
        <v>1606</v>
      </c>
      <c r="I435" t="str">
        <f>VLOOKUP(C435,Customers!A:B,2,FALSE)</f>
        <v>2025:09:05</v>
      </c>
      <c r="J435">
        <f>IFERROR(VLOOKUP($A435,Sheet3!$A:$E,2,FALSE),"")</f>
        <v>2</v>
      </c>
      <c r="K435" t="str">
        <f>IFERROR(VLOOKUP($A435,Sheet3!$A:$E,3,FALSE),"")</f>
        <v>0</v>
      </c>
      <c r="L435" t="str">
        <f>IFERROR(VLOOKUP($A435,Sheet3!$A:$E,4,FALSE),"")</f>
        <v>2026-03-30T05:55:49.000Z</v>
      </c>
      <c r="M435" t="str">
        <f>IFERROR(VLOOKUP($A435,Sheet3!$A:$E,5,FALSE),"")</f>
        <v>2026-04-10T09:55:15.000Z</v>
      </c>
      <c r="N435" s="4">
        <f t="shared" si="13"/>
        <v>206</v>
      </c>
      <c r="O435" t="s">
        <v>2809</v>
      </c>
    </row>
    <row r="436" spans="1:15" x14ac:dyDescent="0.25">
      <c r="A436" t="s">
        <v>1607</v>
      </c>
      <c r="B436" t="s">
        <v>1313</v>
      </c>
      <c r="C436" t="s">
        <v>129</v>
      </c>
      <c r="D436" t="s">
        <v>1531</v>
      </c>
      <c r="E436" t="s">
        <v>1532</v>
      </c>
      <c r="F436" t="s">
        <v>1608</v>
      </c>
      <c r="G436" s="4">
        <f t="shared" si="12"/>
        <v>12.55</v>
      </c>
      <c r="H436" t="s">
        <v>1609</v>
      </c>
      <c r="I436" t="str">
        <f>VLOOKUP(C436,Customers!A:B,2,FALSE)</f>
        <v>2025:09:05</v>
      </c>
      <c r="J436" t="str">
        <f>IFERROR(VLOOKUP($A436,Sheet3!$A:$E,2,FALSE),"")</f>
        <v/>
      </c>
      <c r="K436" t="str">
        <f>IFERROR(VLOOKUP($A436,Sheet3!$A:$E,3,FALSE),"")</f>
        <v/>
      </c>
      <c r="L436" t="str">
        <f>IFERROR(VLOOKUP($A436,Sheet3!$A:$E,4,FALSE),"")</f>
        <v/>
      </c>
      <c r="M436" t="str">
        <f>IFERROR(VLOOKUP($A436,Sheet3!$A:$E,5,FALSE),"")</f>
        <v/>
      </c>
      <c r="N436" s="4" t="str">
        <f t="shared" si="13"/>
        <v/>
      </c>
      <c r="O436" t="s">
        <v>2808</v>
      </c>
    </row>
    <row r="437" spans="1:15" x14ac:dyDescent="0.25">
      <c r="A437" t="s">
        <v>1610</v>
      </c>
      <c r="B437" t="s">
        <v>1313</v>
      </c>
      <c r="C437" t="s">
        <v>129</v>
      </c>
      <c r="D437" t="s">
        <v>1531</v>
      </c>
      <c r="E437" t="s">
        <v>1532</v>
      </c>
      <c r="F437" t="s">
        <v>1611</v>
      </c>
      <c r="G437" s="4">
        <f t="shared" si="12"/>
        <v>58.833333333333336</v>
      </c>
      <c r="H437" t="s">
        <v>1612</v>
      </c>
      <c r="I437" t="str">
        <f>VLOOKUP(C437,Customers!A:B,2,FALSE)</f>
        <v>2025:09:05</v>
      </c>
      <c r="J437" t="str">
        <f>IFERROR(VLOOKUP($A437,Sheet3!$A:$E,2,FALSE),"")</f>
        <v/>
      </c>
      <c r="K437" t="str">
        <f>IFERROR(VLOOKUP($A437,Sheet3!$A:$E,3,FALSE),"")</f>
        <v/>
      </c>
      <c r="L437" t="str">
        <f>IFERROR(VLOOKUP($A437,Sheet3!$A:$E,4,FALSE),"")</f>
        <v/>
      </c>
      <c r="M437" t="str">
        <f>IFERROR(VLOOKUP($A437,Sheet3!$A:$E,5,FALSE),"")</f>
        <v/>
      </c>
      <c r="N437" s="4" t="str">
        <f t="shared" si="13"/>
        <v/>
      </c>
      <c r="O437" t="s">
        <v>2809</v>
      </c>
    </row>
    <row r="438" spans="1:15" x14ac:dyDescent="0.25">
      <c r="A438" t="s">
        <v>1613</v>
      </c>
      <c r="B438" t="s">
        <v>1313</v>
      </c>
      <c r="C438" t="s">
        <v>129</v>
      </c>
      <c r="D438" t="s">
        <v>1531</v>
      </c>
      <c r="E438" t="s">
        <v>1532</v>
      </c>
      <c r="F438" t="s">
        <v>1614</v>
      </c>
      <c r="G438" s="4">
        <f t="shared" si="12"/>
        <v>58.15</v>
      </c>
      <c r="H438" t="s">
        <v>1615</v>
      </c>
      <c r="I438" t="str">
        <f>VLOOKUP(C438,Customers!A:B,2,FALSE)</f>
        <v>2025:09:05</v>
      </c>
      <c r="J438" t="str">
        <f>IFERROR(VLOOKUP($A438,Sheet3!$A:$E,2,FALSE),"")</f>
        <v/>
      </c>
      <c r="K438" t="str">
        <f>IFERROR(VLOOKUP($A438,Sheet3!$A:$E,3,FALSE),"")</f>
        <v/>
      </c>
      <c r="L438" t="str">
        <f>IFERROR(VLOOKUP($A438,Sheet3!$A:$E,4,FALSE),"")</f>
        <v/>
      </c>
      <c r="M438" t="str">
        <f>IFERROR(VLOOKUP($A438,Sheet3!$A:$E,5,FALSE),"")</f>
        <v/>
      </c>
      <c r="N438" s="4" t="str">
        <f t="shared" si="13"/>
        <v/>
      </c>
      <c r="O438" t="s">
        <v>2808</v>
      </c>
    </row>
    <row r="439" spans="1:15" x14ac:dyDescent="0.25">
      <c r="A439" t="s">
        <v>1616</v>
      </c>
      <c r="B439" t="s">
        <v>1313</v>
      </c>
      <c r="C439" t="s">
        <v>156</v>
      </c>
      <c r="D439" t="s">
        <v>156</v>
      </c>
      <c r="E439" t="s">
        <v>1617</v>
      </c>
      <c r="F439" t="s">
        <v>1618</v>
      </c>
      <c r="G439" s="4">
        <f t="shared" si="12"/>
        <v>335.91666666666669</v>
      </c>
      <c r="H439" t="s">
        <v>1619</v>
      </c>
      <c r="I439" t="str">
        <f>VLOOKUP(C439,Customers!A:B,2,FALSE)</f>
        <v>2026:02:18</v>
      </c>
      <c r="J439">
        <f>IFERROR(VLOOKUP($A439,Sheet3!$A:$E,2,FALSE),"")</f>
        <v>1</v>
      </c>
      <c r="K439" t="str">
        <f>IFERROR(VLOOKUP($A439,Sheet3!$A:$E,3,FALSE),"")</f>
        <v>0</v>
      </c>
      <c r="L439" t="str">
        <f>IFERROR(VLOOKUP($A439,Sheet3!$A:$E,4,FALSE),"")</f>
        <v>2026-04-24T10:16:36.000Z</v>
      </c>
      <c r="M439" t="str">
        <f>IFERROR(VLOOKUP($A439,Sheet3!$A:$E,5,FALSE),"")</f>
        <v>2026-04-24T10:16:36.000Z</v>
      </c>
      <c r="N439" s="4">
        <f t="shared" si="13"/>
        <v>65</v>
      </c>
      <c r="O439" t="s">
        <v>2809</v>
      </c>
    </row>
    <row r="440" spans="1:15" x14ac:dyDescent="0.25">
      <c r="A440" t="s">
        <v>1620</v>
      </c>
      <c r="B440" t="s">
        <v>1313</v>
      </c>
      <c r="C440" t="s">
        <v>125</v>
      </c>
      <c r="D440" t="s">
        <v>972</v>
      </c>
      <c r="E440" t="s">
        <v>973</v>
      </c>
      <c r="F440" t="s">
        <v>1621</v>
      </c>
      <c r="G440" s="4">
        <f t="shared" si="12"/>
        <v>127.35</v>
      </c>
      <c r="H440" t="s">
        <v>1622</v>
      </c>
      <c r="I440" t="str">
        <f>VLOOKUP(C440,Customers!A:B,2,FALSE)</f>
        <v>2025:08:21</v>
      </c>
      <c r="J440">
        <f>IFERROR(VLOOKUP($A440,Sheet3!$A:$E,2,FALSE),"")</f>
        <v>2</v>
      </c>
      <c r="K440" t="str">
        <f>IFERROR(VLOOKUP($A440,Sheet3!$A:$E,3,FALSE),"")</f>
        <v>1</v>
      </c>
      <c r="L440" t="str">
        <f>IFERROR(VLOOKUP($A440,Sheet3!$A:$E,4,FALSE),"")</f>
        <v>2025-12-20T10:38:45.000Z</v>
      </c>
      <c r="M440" t="str">
        <f>IFERROR(VLOOKUP($A440,Sheet3!$A:$E,5,FALSE),"")</f>
        <v>2025-12-20T11:50:40.000Z</v>
      </c>
      <c r="N440" s="4">
        <f t="shared" si="13"/>
        <v>121</v>
      </c>
      <c r="O440" t="s">
        <v>2808</v>
      </c>
    </row>
    <row r="441" spans="1:15" x14ac:dyDescent="0.25">
      <c r="A441" t="s">
        <v>1623</v>
      </c>
      <c r="B441" t="s">
        <v>1313</v>
      </c>
      <c r="C441" t="s">
        <v>129</v>
      </c>
      <c r="D441" t="s">
        <v>1531</v>
      </c>
      <c r="E441" t="s">
        <v>1532</v>
      </c>
      <c r="F441" t="s">
        <v>1624</v>
      </c>
      <c r="G441" s="4">
        <f t="shared" si="12"/>
        <v>60.033333333333331</v>
      </c>
      <c r="H441" t="s">
        <v>1625</v>
      </c>
      <c r="I441" t="str">
        <f>VLOOKUP(C441,Customers!A:B,2,FALSE)</f>
        <v>2025:09:05</v>
      </c>
      <c r="J441" t="str">
        <f>IFERROR(VLOOKUP($A441,Sheet3!$A:$E,2,FALSE),"")</f>
        <v/>
      </c>
      <c r="K441" t="str">
        <f>IFERROR(VLOOKUP($A441,Sheet3!$A:$E,3,FALSE),"")</f>
        <v/>
      </c>
      <c r="L441" t="str">
        <f>IFERROR(VLOOKUP($A441,Sheet3!$A:$E,4,FALSE),"")</f>
        <v/>
      </c>
      <c r="M441" t="str">
        <f>IFERROR(VLOOKUP($A441,Sheet3!$A:$E,5,FALSE),"")</f>
        <v/>
      </c>
      <c r="N441" s="4" t="str">
        <f t="shared" si="13"/>
        <v/>
      </c>
      <c r="O441" t="s">
        <v>2809</v>
      </c>
    </row>
    <row r="442" spans="1:15" x14ac:dyDescent="0.25">
      <c r="A442" t="s">
        <v>1626</v>
      </c>
      <c r="B442" t="s">
        <v>318</v>
      </c>
      <c r="C442" t="s">
        <v>29</v>
      </c>
      <c r="D442" t="s">
        <v>319</v>
      </c>
      <c r="E442" t="s">
        <v>320</v>
      </c>
      <c r="F442" t="s">
        <v>1627</v>
      </c>
      <c r="G442" s="4">
        <f t="shared" si="12"/>
        <v>404.53333333333336</v>
      </c>
      <c r="H442" t="s">
        <v>1628</v>
      </c>
      <c r="I442" t="str">
        <f>VLOOKUP(C442,Customers!A:B,2,FALSE)</f>
        <v>2023:11:30</v>
      </c>
      <c r="J442" t="str">
        <f>IFERROR(VLOOKUP($A442,Sheet3!$A:$E,2,FALSE),"")</f>
        <v/>
      </c>
      <c r="K442" t="str">
        <f>IFERROR(VLOOKUP($A442,Sheet3!$A:$E,3,FALSE),"")</f>
        <v/>
      </c>
      <c r="L442" t="str">
        <f>IFERROR(VLOOKUP($A442,Sheet3!$A:$E,4,FALSE),"")</f>
        <v/>
      </c>
      <c r="M442" t="str">
        <f>IFERROR(VLOOKUP($A442,Sheet3!$A:$E,5,FALSE),"")</f>
        <v/>
      </c>
      <c r="N442" s="4" t="str">
        <f t="shared" si="13"/>
        <v/>
      </c>
      <c r="O442" t="s">
        <v>2808</v>
      </c>
    </row>
    <row r="443" spans="1:15" x14ac:dyDescent="0.25">
      <c r="A443" t="s">
        <v>1629</v>
      </c>
      <c r="B443" t="s">
        <v>1313</v>
      </c>
      <c r="C443" t="s">
        <v>35</v>
      </c>
      <c r="D443" t="s">
        <v>443</v>
      </c>
      <c r="E443" t="s">
        <v>444</v>
      </c>
      <c r="F443" t="s">
        <v>316</v>
      </c>
      <c r="G443" s="4" t="str">
        <f t="shared" si="12"/>
        <v/>
      </c>
      <c r="H443" t="s">
        <v>198</v>
      </c>
      <c r="I443" t="str">
        <f>VLOOKUP(C443,Customers!A:B,2,FALSE)</f>
        <v>2024:01:06</v>
      </c>
      <c r="J443">
        <f>IFERROR(VLOOKUP($A443,Sheet3!$A:$E,2,FALSE),"")</f>
        <v>27</v>
      </c>
      <c r="K443" t="str">
        <f>IFERROR(VLOOKUP($A443,Sheet3!$A:$E,3,FALSE),"")</f>
        <v>3</v>
      </c>
      <c r="L443" t="str">
        <f>IFERROR(VLOOKUP($A443,Sheet3!$A:$E,4,FALSE),"")</f>
        <v>2024-09-30T10:26:13.000Z</v>
      </c>
      <c r="M443" t="str">
        <f>IFERROR(VLOOKUP($A443,Sheet3!$A:$E,5,FALSE),"")</f>
        <v>2026-03-10T05:22:38.000Z</v>
      </c>
      <c r="N443" s="4">
        <f t="shared" si="13"/>
        <v>268</v>
      </c>
      <c r="O443" t="s">
        <v>2809</v>
      </c>
    </row>
    <row r="444" spans="1:15" x14ac:dyDescent="0.25">
      <c r="A444" t="s">
        <v>1630</v>
      </c>
      <c r="B444" t="s">
        <v>303</v>
      </c>
      <c r="C444" t="s">
        <v>29</v>
      </c>
      <c r="D444" t="s">
        <v>319</v>
      </c>
      <c r="E444" t="s">
        <v>320</v>
      </c>
      <c r="F444" t="s">
        <v>1631</v>
      </c>
      <c r="G444" s="4">
        <f t="shared" si="12"/>
        <v>553.7833333333333</v>
      </c>
      <c r="H444" t="s">
        <v>1632</v>
      </c>
      <c r="I444" t="str">
        <f>VLOOKUP(C444,Customers!A:B,2,FALSE)</f>
        <v>2023:11:30</v>
      </c>
      <c r="J444" t="str">
        <f>IFERROR(VLOOKUP($A444,Sheet3!$A:$E,2,FALSE),"")</f>
        <v/>
      </c>
      <c r="K444" t="str">
        <f>IFERROR(VLOOKUP($A444,Sheet3!$A:$E,3,FALSE),"")</f>
        <v/>
      </c>
      <c r="L444" t="str">
        <f>IFERROR(VLOOKUP($A444,Sheet3!$A:$E,4,FALSE),"")</f>
        <v/>
      </c>
      <c r="M444" t="str">
        <f>IFERROR(VLOOKUP($A444,Sheet3!$A:$E,5,FALSE),"")</f>
        <v/>
      </c>
      <c r="N444" s="4" t="str">
        <f t="shared" si="13"/>
        <v/>
      </c>
      <c r="O444" t="s">
        <v>2808</v>
      </c>
    </row>
    <row r="445" spans="1:15" x14ac:dyDescent="0.25">
      <c r="A445" t="s">
        <v>1633</v>
      </c>
      <c r="B445" t="s">
        <v>318</v>
      </c>
      <c r="C445" t="s">
        <v>29</v>
      </c>
      <c r="D445" t="s">
        <v>319</v>
      </c>
      <c r="E445" t="s">
        <v>320</v>
      </c>
      <c r="F445" t="s">
        <v>1634</v>
      </c>
      <c r="G445" s="4">
        <f t="shared" si="12"/>
        <v>317.91666666666669</v>
      </c>
      <c r="H445" t="s">
        <v>1635</v>
      </c>
      <c r="I445" t="str">
        <f>VLOOKUP(C445,Customers!A:B,2,FALSE)</f>
        <v>2023:11:30</v>
      </c>
      <c r="J445" t="str">
        <f>IFERROR(VLOOKUP($A445,Sheet3!$A:$E,2,FALSE),"")</f>
        <v/>
      </c>
      <c r="K445" t="str">
        <f>IFERROR(VLOOKUP($A445,Sheet3!$A:$E,3,FALSE),"")</f>
        <v/>
      </c>
      <c r="L445" t="str">
        <f>IFERROR(VLOOKUP($A445,Sheet3!$A:$E,4,FALSE),"")</f>
        <v/>
      </c>
      <c r="M445" t="str">
        <f>IFERROR(VLOOKUP($A445,Sheet3!$A:$E,5,FALSE),"")</f>
        <v/>
      </c>
      <c r="N445" s="4" t="str">
        <f t="shared" si="13"/>
        <v/>
      </c>
      <c r="O445" t="s">
        <v>2809</v>
      </c>
    </row>
    <row r="446" spans="1:15" x14ac:dyDescent="0.25">
      <c r="A446" t="s">
        <v>1636</v>
      </c>
      <c r="B446" t="s">
        <v>318</v>
      </c>
      <c r="C446" t="s">
        <v>29</v>
      </c>
      <c r="D446" t="s">
        <v>319</v>
      </c>
      <c r="E446" t="s">
        <v>320</v>
      </c>
      <c r="F446" t="s">
        <v>1637</v>
      </c>
      <c r="G446" s="4">
        <f t="shared" si="12"/>
        <v>1318.7833333333333</v>
      </c>
      <c r="H446" t="s">
        <v>1638</v>
      </c>
      <c r="I446" t="str">
        <f>VLOOKUP(C446,Customers!A:B,2,FALSE)</f>
        <v>2023:11:30</v>
      </c>
      <c r="J446">
        <f>IFERROR(VLOOKUP($A446,Sheet3!$A:$E,2,FALSE),"")</f>
        <v>39</v>
      </c>
      <c r="K446" t="str">
        <f>IFERROR(VLOOKUP($A446,Sheet3!$A:$E,3,FALSE),"")</f>
        <v>9</v>
      </c>
      <c r="L446" t="str">
        <f>IFERROR(VLOOKUP($A446,Sheet3!$A:$E,4,FALSE),"")</f>
        <v>2024-04-10T08:13:12.000Z</v>
      </c>
      <c r="M446" t="str">
        <f>IFERROR(VLOOKUP($A446,Sheet3!$A:$E,5,FALSE),"")</f>
        <v>2025-11-05T09:25:37.000Z</v>
      </c>
      <c r="N446" s="4">
        <f t="shared" si="13"/>
        <v>132</v>
      </c>
      <c r="O446" t="s">
        <v>2808</v>
      </c>
    </row>
    <row r="447" spans="1:15" x14ac:dyDescent="0.25">
      <c r="A447" t="s">
        <v>1639</v>
      </c>
      <c r="B447" t="s">
        <v>318</v>
      </c>
      <c r="C447" t="s">
        <v>29</v>
      </c>
      <c r="D447" t="s">
        <v>319</v>
      </c>
      <c r="E447" t="s">
        <v>320</v>
      </c>
      <c r="F447" t="s">
        <v>1640</v>
      </c>
      <c r="G447" s="4">
        <f t="shared" si="12"/>
        <v>1425.4833333333333</v>
      </c>
      <c r="H447" t="s">
        <v>1641</v>
      </c>
      <c r="I447" t="str">
        <f>VLOOKUP(C447,Customers!A:B,2,FALSE)</f>
        <v>2023:11:30</v>
      </c>
      <c r="J447">
        <f>IFERROR(VLOOKUP($A447,Sheet3!$A:$E,2,FALSE),"")</f>
        <v>21</v>
      </c>
      <c r="K447" t="str">
        <f>IFERROR(VLOOKUP($A447,Sheet3!$A:$E,3,FALSE),"")</f>
        <v>12</v>
      </c>
      <c r="L447" t="str">
        <f>IFERROR(VLOOKUP($A447,Sheet3!$A:$E,4,FALSE),"")</f>
        <v>2024-05-26T06:06:43.000Z</v>
      </c>
      <c r="M447" t="str">
        <f>IFERROR(VLOOKUP($A447,Sheet3!$A:$E,5,FALSE),"")</f>
        <v>2025-12-26T11:11:56.000Z</v>
      </c>
      <c r="N447" s="4">
        <f t="shared" si="13"/>
        <v>178</v>
      </c>
      <c r="O447" t="s">
        <v>2809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49D2-2EE9-4AB4-B611-C8C159B2EEE8}">
  <dimension ref="A1:B43"/>
  <sheetViews>
    <sheetView workbookViewId="0"/>
  </sheetViews>
  <sheetFormatPr defaultRowHeight="15" x14ac:dyDescent="0.25"/>
  <cols>
    <col min="1" max="1" width="50.5703125" bestFit="1" customWidth="1"/>
    <col min="2" max="2" width="15.28515625" bestFit="1" customWidth="1"/>
  </cols>
  <sheetData>
    <row r="1" spans="1:2" x14ac:dyDescent="0.25">
      <c r="A1" t="s">
        <v>294</v>
      </c>
      <c r="B1" t="s">
        <v>1642</v>
      </c>
    </row>
    <row r="2" spans="1:2" x14ac:dyDescent="0.25">
      <c r="A2" t="s">
        <v>29</v>
      </c>
      <c r="B2" s="9">
        <v>279</v>
      </c>
    </row>
    <row r="3" spans="1:2" x14ac:dyDescent="0.25">
      <c r="A3" t="s">
        <v>125</v>
      </c>
      <c r="B3" s="9">
        <v>25</v>
      </c>
    </row>
    <row r="4" spans="1:2" x14ac:dyDescent="0.25">
      <c r="A4" t="s">
        <v>76</v>
      </c>
      <c r="B4" s="9">
        <v>24</v>
      </c>
    </row>
    <row r="5" spans="1:2" x14ac:dyDescent="0.25">
      <c r="A5" t="s">
        <v>35</v>
      </c>
      <c r="B5" s="9">
        <v>20</v>
      </c>
    </row>
    <row r="6" spans="1:2" x14ac:dyDescent="0.25">
      <c r="A6" t="s">
        <v>11</v>
      </c>
      <c r="B6" s="9">
        <v>18</v>
      </c>
    </row>
    <row r="7" spans="1:2" x14ac:dyDescent="0.25">
      <c r="A7" t="s">
        <v>5</v>
      </c>
      <c r="B7" s="9">
        <v>10</v>
      </c>
    </row>
    <row r="8" spans="1:2" x14ac:dyDescent="0.25">
      <c r="A8" t="s">
        <v>46</v>
      </c>
      <c r="B8" s="9">
        <v>8</v>
      </c>
    </row>
    <row r="9" spans="1:2" x14ac:dyDescent="0.25">
      <c r="A9" t="s">
        <v>13</v>
      </c>
      <c r="B9" s="9">
        <v>6</v>
      </c>
    </row>
    <row r="10" spans="1:2" x14ac:dyDescent="0.25">
      <c r="A10" t="s">
        <v>129</v>
      </c>
      <c r="B10" s="9">
        <v>6</v>
      </c>
    </row>
    <row r="11" spans="1:2" x14ac:dyDescent="0.25">
      <c r="A11" t="s">
        <v>48</v>
      </c>
      <c r="B11" s="9">
        <v>5</v>
      </c>
    </row>
    <row r="12" spans="1:2" x14ac:dyDescent="0.25">
      <c r="A12" t="s">
        <v>9</v>
      </c>
      <c r="B12" s="9">
        <v>4</v>
      </c>
    </row>
    <row r="13" spans="1:2" x14ac:dyDescent="0.25">
      <c r="A13" t="s">
        <v>23</v>
      </c>
      <c r="B13" s="9">
        <v>3</v>
      </c>
    </row>
    <row r="14" spans="1:2" x14ac:dyDescent="0.25">
      <c r="A14" t="s">
        <v>31</v>
      </c>
      <c r="B14" s="9">
        <v>3</v>
      </c>
    </row>
    <row r="15" spans="1:2" x14ac:dyDescent="0.25">
      <c r="A15" t="s">
        <v>59</v>
      </c>
      <c r="B15" s="9">
        <v>3</v>
      </c>
    </row>
    <row r="16" spans="1:2" x14ac:dyDescent="0.25">
      <c r="A16" t="s">
        <v>157</v>
      </c>
      <c r="B16" s="9">
        <v>3</v>
      </c>
    </row>
    <row r="17" spans="1:2" x14ac:dyDescent="0.25">
      <c r="A17" t="s">
        <v>21</v>
      </c>
      <c r="B17" s="9">
        <v>2</v>
      </c>
    </row>
    <row r="18" spans="1:2" x14ac:dyDescent="0.25">
      <c r="A18" t="s">
        <v>58</v>
      </c>
      <c r="B18" s="9">
        <v>2</v>
      </c>
    </row>
    <row r="19" spans="1:2" x14ac:dyDescent="0.25">
      <c r="A19" t="s">
        <v>147</v>
      </c>
      <c r="B19" s="9">
        <v>2</v>
      </c>
    </row>
    <row r="20" spans="1:2" x14ac:dyDescent="0.25">
      <c r="A20" t="s">
        <v>38</v>
      </c>
      <c r="B20" s="9">
        <v>1</v>
      </c>
    </row>
    <row r="21" spans="1:2" x14ac:dyDescent="0.25">
      <c r="A21" t="s">
        <v>15</v>
      </c>
      <c r="B21" s="9">
        <v>1</v>
      </c>
    </row>
    <row r="22" spans="1:2" x14ac:dyDescent="0.25">
      <c r="A22" t="s">
        <v>7</v>
      </c>
      <c r="B22" s="9">
        <v>1</v>
      </c>
    </row>
    <row r="23" spans="1:2" x14ac:dyDescent="0.25">
      <c r="A23" t="s">
        <v>37</v>
      </c>
      <c r="B23" s="9">
        <v>1</v>
      </c>
    </row>
    <row r="24" spans="1:2" x14ac:dyDescent="0.25">
      <c r="A24" t="s">
        <v>44</v>
      </c>
      <c r="B24" s="9">
        <v>1</v>
      </c>
    </row>
    <row r="25" spans="1:2" x14ac:dyDescent="0.25">
      <c r="A25" t="s">
        <v>84</v>
      </c>
      <c r="B25" s="9">
        <v>1</v>
      </c>
    </row>
    <row r="26" spans="1:2" x14ac:dyDescent="0.25">
      <c r="A26" t="s">
        <v>90</v>
      </c>
      <c r="B26" s="9">
        <v>1</v>
      </c>
    </row>
    <row r="27" spans="1:2" x14ac:dyDescent="0.25">
      <c r="A27" t="s">
        <v>93</v>
      </c>
      <c r="B27" s="9">
        <v>1</v>
      </c>
    </row>
    <row r="28" spans="1:2" x14ac:dyDescent="0.25">
      <c r="A28" t="s">
        <v>127</v>
      </c>
      <c r="B28" s="9">
        <v>1</v>
      </c>
    </row>
    <row r="29" spans="1:2" x14ac:dyDescent="0.25">
      <c r="A29" t="s">
        <v>131</v>
      </c>
      <c r="B29" s="9">
        <v>1</v>
      </c>
    </row>
    <row r="30" spans="1:2" x14ac:dyDescent="0.25">
      <c r="A30" t="s">
        <v>133</v>
      </c>
      <c r="B30" s="9">
        <v>1</v>
      </c>
    </row>
    <row r="31" spans="1:2" x14ac:dyDescent="0.25">
      <c r="A31" t="s">
        <v>123</v>
      </c>
      <c r="B31" s="9">
        <v>1</v>
      </c>
    </row>
    <row r="32" spans="1:2" x14ac:dyDescent="0.25">
      <c r="A32" t="s">
        <v>134</v>
      </c>
      <c r="B32" s="9">
        <v>1</v>
      </c>
    </row>
    <row r="33" spans="1:2" x14ac:dyDescent="0.25">
      <c r="A33" t="s">
        <v>66</v>
      </c>
      <c r="B33" s="9">
        <v>1</v>
      </c>
    </row>
    <row r="34" spans="1:2" x14ac:dyDescent="0.25">
      <c r="A34" t="s">
        <v>67</v>
      </c>
      <c r="B34" s="9">
        <v>1</v>
      </c>
    </row>
    <row r="35" spans="1:2" x14ac:dyDescent="0.25">
      <c r="A35" t="s">
        <v>150</v>
      </c>
      <c r="B35" s="9">
        <v>1</v>
      </c>
    </row>
    <row r="36" spans="1:2" x14ac:dyDescent="0.25">
      <c r="A36" t="s">
        <v>152</v>
      </c>
      <c r="B36" s="9">
        <v>1</v>
      </c>
    </row>
    <row r="37" spans="1:2" x14ac:dyDescent="0.25">
      <c r="A37" t="s">
        <v>135</v>
      </c>
      <c r="B37" s="9">
        <v>1</v>
      </c>
    </row>
    <row r="38" spans="1:2" x14ac:dyDescent="0.25">
      <c r="A38" t="s">
        <v>136</v>
      </c>
      <c r="B38" s="9">
        <v>1</v>
      </c>
    </row>
    <row r="39" spans="1:2" x14ac:dyDescent="0.25">
      <c r="A39" t="s">
        <v>154</v>
      </c>
      <c r="B39" s="9">
        <v>1</v>
      </c>
    </row>
    <row r="40" spans="1:2" x14ac:dyDescent="0.25">
      <c r="A40" t="s">
        <v>144</v>
      </c>
      <c r="B40" s="9">
        <v>1</v>
      </c>
    </row>
    <row r="41" spans="1:2" x14ac:dyDescent="0.25">
      <c r="A41" t="s">
        <v>146</v>
      </c>
      <c r="B41" s="9">
        <v>1</v>
      </c>
    </row>
    <row r="42" spans="1:2" x14ac:dyDescent="0.25">
      <c r="A42" t="s">
        <v>156</v>
      </c>
      <c r="B42" s="9">
        <v>1</v>
      </c>
    </row>
    <row r="43" spans="1:2" x14ac:dyDescent="0.25">
      <c r="A43">
        <v>0</v>
      </c>
      <c r="B43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21D6-52B5-4B5F-98BD-D5D567F4BCBB}">
  <dimension ref="H5:K7"/>
  <sheetViews>
    <sheetView workbookViewId="0">
      <selection activeCell="H6" sqref="H6"/>
    </sheetView>
  </sheetViews>
  <sheetFormatPr defaultRowHeight="15" x14ac:dyDescent="0.25"/>
  <cols>
    <col min="1" max="7" width="9.140625" style="5"/>
    <col min="8" max="8" width="16.85546875" style="5" customWidth="1"/>
    <col min="9" max="9" width="9.140625" style="5"/>
    <col min="10" max="10" width="19.5703125" style="5" bestFit="1" customWidth="1"/>
    <col min="11" max="11" width="25.85546875" style="5" bestFit="1" customWidth="1"/>
    <col min="12" max="16384" width="9.140625" style="5"/>
  </cols>
  <sheetData>
    <row r="5" spans="8:11" x14ac:dyDescent="0.25">
      <c r="H5" s="6"/>
      <c r="I5" s="8" t="s">
        <v>1643</v>
      </c>
      <c r="J5" s="8" t="s">
        <v>1644</v>
      </c>
      <c r="K5" s="8" t="s">
        <v>1645</v>
      </c>
    </row>
    <row r="6" spans="8:11" x14ac:dyDescent="0.25">
      <c r="H6" s="6" t="s">
        <v>1646</v>
      </c>
      <c r="I6" s="6">
        <f>COUNTA('Drone details'!A:A)</f>
        <v>447</v>
      </c>
      <c r="J6" s="6" cm="1">
        <f t="array" ref="J6">ROWS(_xlfn._xlws.FILTER('Drone details'!A2:A447,VALUE('Drone details'!K2:K447&amp;"0")&gt;0))</f>
        <v>312</v>
      </c>
      <c r="K6" s="6" cm="1">
        <f t="array" ref="K6">SUMPRODUCT((ISNUMBER('Drone details'!N2:N447)*('Drone details'!N2:N447&lt;=30))*1)</f>
        <v>52</v>
      </c>
    </row>
    <row r="7" spans="8:11" x14ac:dyDescent="0.25">
      <c r="H7" s="6" t="s">
        <v>1647</v>
      </c>
      <c r="I7" s="7" cm="1">
        <f t="array" ref="I7">ROWS(_xlfn.UNIQUE(_xlfn._xlws.FILTER('Drone details'!$C$2:$C$447,'Drone details'!$C$2:$C$447&lt;&gt;"")))</f>
        <v>41</v>
      </c>
      <c r="J7" s="6" cm="1">
        <f t="array" ref="J7">ROWS(_xlfn.UNIQUE(_xlfn._xlws.FILTER('Drone details'!C2:C447,VALUE('Drone details'!K2:K447&amp;"0")&gt;0)))</f>
        <v>28</v>
      </c>
      <c r="K7" s="6" cm="1">
        <f t="array" ref="K7">ROWS(_xlfn.UNIQUE(_xlfn._xlws.FILTER('Drone details'!C2:C447,(ISNUMBER('Drone details'!N2:N447))*('Drone details'!N2:N447&lt;=30))))</f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4DDC-F444-4238-A158-0679EE2A6D3A}">
  <dimension ref="A1:E545"/>
  <sheetViews>
    <sheetView topLeftCell="A208" workbookViewId="0">
      <selection activeCell="A238" sqref="A238"/>
    </sheetView>
  </sheetViews>
  <sheetFormatPr defaultRowHeight="15" x14ac:dyDescent="0.25"/>
  <cols>
    <col min="3" max="3" width="20.28515625" bestFit="1" customWidth="1"/>
    <col min="4" max="5" width="25.140625" bestFit="1" customWidth="1"/>
  </cols>
  <sheetData>
    <row r="1" spans="1:5" x14ac:dyDescent="0.25">
      <c r="A1" t="s">
        <v>292</v>
      </c>
      <c r="B1" t="s">
        <v>160</v>
      </c>
      <c r="C1" t="s">
        <v>161</v>
      </c>
      <c r="D1" t="s">
        <v>162</v>
      </c>
      <c r="E1" t="s">
        <v>163</v>
      </c>
    </row>
    <row r="2" spans="1:5" x14ac:dyDescent="0.25">
      <c r="A2" t="s">
        <v>469</v>
      </c>
      <c r="B2">
        <v>77</v>
      </c>
      <c r="C2" t="s">
        <v>204</v>
      </c>
      <c r="D2" t="s">
        <v>1648</v>
      </c>
      <c r="E2" t="s">
        <v>1649</v>
      </c>
    </row>
    <row r="3" spans="1:5" x14ac:dyDescent="0.25">
      <c r="A3" t="s">
        <v>641</v>
      </c>
      <c r="B3">
        <v>71</v>
      </c>
      <c r="C3" t="s">
        <v>1650</v>
      </c>
      <c r="D3" t="s">
        <v>1651</v>
      </c>
      <c r="E3" t="s">
        <v>1652</v>
      </c>
    </row>
    <row r="4" spans="1:5" x14ac:dyDescent="0.25">
      <c r="A4" t="s">
        <v>451</v>
      </c>
      <c r="B4">
        <v>64</v>
      </c>
      <c r="C4" t="s">
        <v>1653</v>
      </c>
      <c r="D4" t="s">
        <v>1654</v>
      </c>
      <c r="E4" t="s">
        <v>1655</v>
      </c>
    </row>
    <row r="5" spans="1:5" x14ac:dyDescent="0.25">
      <c r="A5" t="s">
        <v>808</v>
      </c>
      <c r="B5">
        <v>63</v>
      </c>
      <c r="C5" t="s">
        <v>1656</v>
      </c>
      <c r="D5" t="s">
        <v>1657</v>
      </c>
      <c r="E5" t="s">
        <v>1658</v>
      </c>
    </row>
    <row r="6" spans="1:5" x14ac:dyDescent="0.25">
      <c r="A6" t="s">
        <v>1054</v>
      </c>
      <c r="B6">
        <v>60</v>
      </c>
      <c r="C6" t="s">
        <v>1659</v>
      </c>
      <c r="D6" t="s">
        <v>1660</v>
      </c>
      <c r="E6" t="s">
        <v>1661</v>
      </c>
    </row>
    <row r="7" spans="1:5" x14ac:dyDescent="0.25">
      <c r="A7" t="s">
        <v>879</v>
      </c>
      <c r="B7">
        <v>59</v>
      </c>
      <c r="C7" t="s">
        <v>1662</v>
      </c>
      <c r="D7" t="s">
        <v>1663</v>
      </c>
      <c r="E7" t="s">
        <v>1664</v>
      </c>
    </row>
    <row r="8" spans="1:5" x14ac:dyDescent="0.25">
      <c r="A8" t="s">
        <v>731</v>
      </c>
      <c r="B8">
        <v>58</v>
      </c>
      <c r="C8" t="s">
        <v>1665</v>
      </c>
      <c r="D8" t="s">
        <v>1666</v>
      </c>
      <c r="E8" t="s">
        <v>1667</v>
      </c>
    </row>
    <row r="9" spans="1:5" x14ac:dyDescent="0.25">
      <c r="A9" t="s">
        <v>650</v>
      </c>
      <c r="B9">
        <v>53</v>
      </c>
      <c r="C9" t="s">
        <v>1668</v>
      </c>
      <c r="D9" t="s">
        <v>1669</v>
      </c>
      <c r="E9" t="s">
        <v>1670</v>
      </c>
    </row>
    <row r="10" spans="1:5" x14ac:dyDescent="0.25">
      <c r="A10" t="s">
        <v>591</v>
      </c>
      <c r="B10">
        <v>53</v>
      </c>
      <c r="C10" t="s">
        <v>1671</v>
      </c>
      <c r="D10" t="s">
        <v>1672</v>
      </c>
      <c r="E10" t="s">
        <v>1673</v>
      </c>
    </row>
    <row r="11" spans="1:5" x14ac:dyDescent="0.25">
      <c r="A11" t="s">
        <v>529</v>
      </c>
      <c r="B11">
        <v>51</v>
      </c>
      <c r="C11" t="s">
        <v>1674</v>
      </c>
      <c r="D11" t="s">
        <v>1675</v>
      </c>
      <c r="E11" t="s">
        <v>1676</v>
      </c>
    </row>
    <row r="12" spans="1:5" x14ac:dyDescent="0.25">
      <c r="A12" t="s">
        <v>466</v>
      </c>
      <c r="B12">
        <v>51</v>
      </c>
      <c r="C12" t="s">
        <v>194</v>
      </c>
      <c r="D12" t="s">
        <v>1677</v>
      </c>
      <c r="E12" t="s">
        <v>1678</v>
      </c>
    </row>
    <row r="13" spans="1:5" x14ac:dyDescent="0.25">
      <c r="A13" t="s">
        <v>1438</v>
      </c>
      <c r="B13">
        <v>50</v>
      </c>
      <c r="C13" t="s">
        <v>1668</v>
      </c>
      <c r="D13" t="s">
        <v>1679</v>
      </c>
      <c r="E13" t="s">
        <v>1680</v>
      </c>
    </row>
    <row r="14" spans="1:5" x14ac:dyDescent="0.25">
      <c r="A14" t="s">
        <v>888</v>
      </c>
      <c r="B14">
        <v>49</v>
      </c>
      <c r="C14" t="s">
        <v>1656</v>
      </c>
      <c r="D14" t="s">
        <v>1681</v>
      </c>
      <c r="E14" t="s">
        <v>1682</v>
      </c>
    </row>
    <row r="15" spans="1:5" x14ac:dyDescent="0.25">
      <c r="A15" t="s">
        <v>523</v>
      </c>
      <c r="B15">
        <v>48</v>
      </c>
      <c r="C15" t="s">
        <v>181</v>
      </c>
      <c r="D15" t="s">
        <v>1683</v>
      </c>
      <c r="E15" t="s">
        <v>1684</v>
      </c>
    </row>
    <row r="16" spans="1:5" x14ac:dyDescent="0.25">
      <c r="A16" t="s">
        <v>984</v>
      </c>
      <c r="B16">
        <v>47</v>
      </c>
      <c r="C16" t="s">
        <v>179</v>
      </c>
      <c r="D16" t="s">
        <v>1685</v>
      </c>
      <c r="E16" t="s">
        <v>1686</v>
      </c>
    </row>
    <row r="17" spans="1:5" x14ac:dyDescent="0.25">
      <c r="A17" t="s">
        <v>920</v>
      </c>
      <c r="B17">
        <v>47</v>
      </c>
      <c r="C17" t="s">
        <v>1650</v>
      </c>
      <c r="D17" t="s">
        <v>1687</v>
      </c>
      <c r="E17" t="s">
        <v>1688</v>
      </c>
    </row>
    <row r="18" spans="1:5" x14ac:dyDescent="0.25">
      <c r="A18" t="s">
        <v>659</v>
      </c>
      <c r="B18">
        <v>45</v>
      </c>
      <c r="C18" t="s">
        <v>194</v>
      </c>
      <c r="D18" t="s">
        <v>1689</v>
      </c>
      <c r="E18" t="s">
        <v>1690</v>
      </c>
    </row>
    <row r="19" spans="1:5" x14ac:dyDescent="0.25">
      <c r="A19" t="s">
        <v>386</v>
      </c>
      <c r="B19">
        <v>43</v>
      </c>
      <c r="C19" t="s">
        <v>1691</v>
      </c>
      <c r="D19" t="s">
        <v>1692</v>
      </c>
      <c r="E19" t="s">
        <v>1693</v>
      </c>
    </row>
    <row r="20" spans="1:5" x14ac:dyDescent="0.25">
      <c r="A20" t="s">
        <v>903</v>
      </c>
      <c r="B20">
        <v>43</v>
      </c>
      <c r="C20" t="s">
        <v>1656</v>
      </c>
      <c r="D20" t="s">
        <v>1694</v>
      </c>
      <c r="E20" t="s">
        <v>1695</v>
      </c>
    </row>
    <row r="21" spans="1:5" x14ac:dyDescent="0.25">
      <c r="A21" t="s">
        <v>1432</v>
      </c>
      <c r="B21">
        <v>43</v>
      </c>
      <c r="C21" t="s">
        <v>1659</v>
      </c>
      <c r="D21" t="s">
        <v>1696</v>
      </c>
      <c r="E21" t="s">
        <v>1697</v>
      </c>
    </row>
    <row r="22" spans="1:5" x14ac:dyDescent="0.25">
      <c r="A22" t="s">
        <v>549</v>
      </c>
      <c r="B22">
        <v>42</v>
      </c>
      <c r="C22" t="s">
        <v>1698</v>
      </c>
      <c r="D22" t="s">
        <v>1699</v>
      </c>
      <c r="E22" t="s">
        <v>1700</v>
      </c>
    </row>
    <row r="23" spans="1:5" x14ac:dyDescent="0.25">
      <c r="A23" t="s">
        <v>463</v>
      </c>
      <c r="B23">
        <v>41</v>
      </c>
      <c r="C23" t="s">
        <v>1701</v>
      </c>
      <c r="D23" t="s">
        <v>1702</v>
      </c>
      <c r="E23" t="s">
        <v>1703</v>
      </c>
    </row>
    <row r="24" spans="1:5" x14ac:dyDescent="0.25">
      <c r="A24" t="s">
        <v>766</v>
      </c>
      <c r="B24">
        <v>41</v>
      </c>
      <c r="C24" t="s">
        <v>1659</v>
      </c>
      <c r="D24" t="s">
        <v>1704</v>
      </c>
      <c r="E24" t="s">
        <v>1705</v>
      </c>
    </row>
    <row r="25" spans="1:5" x14ac:dyDescent="0.25">
      <c r="A25" t="s">
        <v>932</v>
      </c>
      <c r="B25">
        <v>41</v>
      </c>
      <c r="C25" t="s">
        <v>1706</v>
      </c>
      <c r="D25" t="s">
        <v>1707</v>
      </c>
      <c r="E25" t="s">
        <v>1708</v>
      </c>
    </row>
    <row r="26" spans="1:5" x14ac:dyDescent="0.25">
      <c r="A26" t="s">
        <v>1424</v>
      </c>
      <c r="B26">
        <v>41</v>
      </c>
      <c r="C26" t="s">
        <v>1691</v>
      </c>
      <c r="D26" t="s">
        <v>1709</v>
      </c>
      <c r="E26" t="s">
        <v>1710</v>
      </c>
    </row>
    <row r="27" spans="1:5" x14ac:dyDescent="0.25">
      <c r="A27" t="s">
        <v>419</v>
      </c>
      <c r="B27">
        <v>40</v>
      </c>
      <c r="C27" t="s">
        <v>1668</v>
      </c>
      <c r="D27" t="s">
        <v>1711</v>
      </c>
      <c r="E27" t="s">
        <v>1712</v>
      </c>
    </row>
    <row r="28" spans="1:5" x14ac:dyDescent="0.25">
      <c r="A28" t="s">
        <v>1636</v>
      </c>
      <c r="B28">
        <v>39</v>
      </c>
      <c r="C28" t="s">
        <v>204</v>
      </c>
      <c r="D28" t="s">
        <v>1713</v>
      </c>
      <c r="E28" t="s">
        <v>1714</v>
      </c>
    </row>
    <row r="29" spans="1:5" x14ac:dyDescent="0.25">
      <c r="A29" t="s">
        <v>653</v>
      </c>
      <c r="B29">
        <v>39</v>
      </c>
      <c r="C29" t="s">
        <v>1715</v>
      </c>
      <c r="D29" t="s">
        <v>1716</v>
      </c>
      <c r="E29" t="s">
        <v>1717</v>
      </c>
    </row>
    <row r="30" spans="1:5" x14ac:dyDescent="0.25">
      <c r="A30" t="s">
        <v>686</v>
      </c>
      <c r="B30">
        <v>39</v>
      </c>
      <c r="C30" t="s">
        <v>198</v>
      </c>
      <c r="D30" t="s">
        <v>1718</v>
      </c>
      <c r="E30" t="s">
        <v>1719</v>
      </c>
    </row>
    <row r="31" spans="1:5" x14ac:dyDescent="0.25">
      <c r="A31" t="s">
        <v>1441</v>
      </c>
      <c r="B31">
        <v>39</v>
      </c>
      <c r="C31" t="s">
        <v>1701</v>
      </c>
      <c r="D31" t="s">
        <v>1720</v>
      </c>
      <c r="E31" t="s">
        <v>1721</v>
      </c>
    </row>
    <row r="32" spans="1:5" x14ac:dyDescent="0.25">
      <c r="A32" t="s">
        <v>1444</v>
      </c>
      <c r="B32">
        <v>39</v>
      </c>
      <c r="C32" t="s">
        <v>1691</v>
      </c>
      <c r="D32" t="s">
        <v>1722</v>
      </c>
      <c r="E32" t="s">
        <v>1723</v>
      </c>
    </row>
    <row r="33" spans="1:5" x14ac:dyDescent="0.25">
      <c r="A33" t="s">
        <v>425</v>
      </c>
      <c r="B33">
        <v>38</v>
      </c>
      <c r="C33" t="s">
        <v>1698</v>
      </c>
      <c r="D33" t="s">
        <v>1724</v>
      </c>
      <c r="E33" t="s">
        <v>1725</v>
      </c>
    </row>
    <row r="34" spans="1:5" x14ac:dyDescent="0.25">
      <c r="A34" t="s">
        <v>633</v>
      </c>
      <c r="B34">
        <v>38</v>
      </c>
      <c r="C34" t="s">
        <v>1656</v>
      </c>
      <c r="D34" t="s">
        <v>1726</v>
      </c>
      <c r="E34" t="s">
        <v>1727</v>
      </c>
    </row>
    <row r="35" spans="1:5" x14ac:dyDescent="0.25">
      <c r="A35" t="s">
        <v>736</v>
      </c>
      <c r="B35">
        <v>38</v>
      </c>
      <c r="C35" t="s">
        <v>1691</v>
      </c>
      <c r="D35" t="s">
        <v>1728</v>
      </c>
      <c r="E35" t="s">
        <v>1729</v>
      </c>
    </row>
    <row r="36" spans="1:5" x14ac:dyDescent="0.25">
      <c r="A36" t="s">
        <v>843</v>
      </c>
      <c r="B36">
        <v>38</v>
      </c>
      <c r="C36" t="s">
        <v>176</v>
      </c>
      <c r="D36" t="s">
        <v>1730</v>
      </c>
      <c r="E36" t="s">
        <v>1731</v>
      </c>
    </row>
    <row r="37" spans="1:5" x14ac:dyDescent="0.25">
      <c r="A37" t="s">
        <v>1404</v>
      </c>
      <c r="B37">
        <v>38</v>
      </c>
      <c r="C37" t="s">
        <v>1732</v>
      </c>
      <c r="D37" t="s">
        <v>1733</v>
      </c>
      <c r="E37" t="s">
        <v>1734</v>
      </c>
    </row>
    <row r="38" spans="1:5" x14ac:dyDescent="0.25">
      <c r="A38" t="s">
        <v>1474</v>
      </c>
      <c r="B38">
        <v>38</v>
      </c>
      <c r="C38" t="s">
        <v>1732</v>
      </c>
      <c r="D38" t="s">
        <v>1735</v>
      </c>
      <c r="E38" t="s">
        <v>1736</v>
      </c>
    </row>
    <row r="39" spans="1:5" x14ac:dyDescent="0.25">
      <c r="A39" t="s">
        <v>1447</v>
      </c>
      <c r="B39">
        <v>38</v>
      </c>
      <c r="C39" t="s">
        <v>1656</v>
      </c>
      <c r="D39" t="s">
        <v>1737</v>
      </c>
      <c r="E39" t="s">
        <v>1738</v>
      </c>
    </row>
    <row r="40" spans="1:5" x14ac:dyDescent="0.25">
      <c r="A40" t="s">
        <v>665</v>
      </c>
      <c r="B40">
        <v>37</v>
      </c>
      <c r="C40" t="s">
        <v>194</v>
      </c>
      <c r="D40" t="s">
        <v>1739</v>
      </c>
      <c r="E40" t="s">
        <v>1740</v>
      </c>
    </row>
    <row r="41" spans="1:5" x14ac:dyDescent="0.25">
      <c r="A41" t="s">
        <v>407</v>
      </c>
      <c r="B41">
        <v>36</v>
      </c>
      <c r="C41" t="s">
        <v>189</v>
      </c>
      <c r="D41" t="s">
        <v>1741</v>
      </c>
      <c r="E41" t="s">
        <v>1742</v>
      </c>
    </row>
    <row r="42" spans="1:5" x14ac:dyDescent="0.25">
      <c r="A42" t="s">
        <v>1023</v>
      </c>
      <c r="B42">
        <v>36</v>
      </c>
      <c r="C42" t="s">
        <v>1743</v>
      </c>
      <c r="D42" t="s">
        <v>1744</v>
      </c>
      <c r="E42" t="s">
        <v>1745</v>
      </c>
    </row>
    <row r="43" spans="1:5" x14ac:dyDescent="0.25">
      <c r="A43" t="s">
        <v>816</v>
      </c>
      <c r="B43">
        <v>36</v>
      </c>
      <c r="C43" t="s">
        <v>179</v>
      </c>
      <c r="D43" t="s">
        <v>1746</v>
      </c>
      <c r="E43" t="s">
        <v>1747</v>
      </c>
    </row>
    <row r="44" spans="1:5" x14ac:dyDescent="0.25">
      <c r="A44" t="s">
        <v>1035</v>
      </c>
      <c r="B44">
        <v>36</v>
      </c>
      <c r="C44" t="s">
        <v>1650</v>
      </c>
      <c r="D44" t="s">
        <v>1748</v>
      </c>
      <c r="E44" t="s">
        <v>1749</v>
      </c>
    </row>
    <row r="45" spans="1:5" x14ac:dyDescent="0.25">
      <c r="A45" t="s">
        <v>695</v>
      </c>
      <c r="B45">
        <v>35</v>
      </c>
      <c r="C45" t="s">
        <v>1691</v>
      </c>
      <c r="D45" t="s">
        <v>1750</v>
      </c>
      <c r="E45" t="s">
        <v>1751</v>
      </c>
    </row>
    <row r="46" spans="1:5" x14ac:dyDescent="0.25">
      <c r="A46" t="s">
        <v>870</v>
      </c>
      <c r="B46">
        <v>35</v>
      </c>
      <c r="C46" t="s">
        <v>1659</v>
      </c>
      <c r="D46" t="s">
        <v>1752</v>
      </c>
      <c r="E46" t="s">
        <v>1753</v>
      </c>
    </row>
    <row r="47" spans="1:5" x14ac:dyDescent="0.25">
      <c r="A47" t="s">
        <v>1262</v>
      </c>
      <c r="B47">
        <v>35</v>
      </c>
      <c r="C47" t="s">
        <v>176</v>
      </c>
      <c r="D47" t="s">
        <v>1754</v>
      </c>
      <c r="E47" t="s">
        <v>1755</v>
      </c>
    </row>
    <row r="48" spans="1:5" x14ac:dyDescent="0.25">
      <c r="A48" t="s">
        <v>923</v>
      </c>
      <c r="B48">
        <v>34</v>
      </c>
      <c r="C48" t="s">
        <v>176</v>
      </c>
      <c r="D48" t="s">
        <v>1756</v>
      </c>
      <c r="E48" t="s">
        <v>1757</v>
      </c>
    </row>
    <row r="49" spans="1:5" x14ac:dyDescent="0.25">
      <c r="A49" t="s">
        <v>395</v>
      </c>
      <c r="B49">
        <v>34</v>
      </c>
      <c r="C49" t="s">
        <v>181</v>
      </c>
      <c r="D49" t="s">
        <v>1758</v>
      </c>
      <c r="E49" t="s">
        <v>1759</v>
      </c>
    </row>
    <row r="50" spans="1:5" x14ac:dyDescent="0.25">
      <c r="A50" t="s">
        <v>713</v>
      </c>
      <c r="B50">
        <v>34</v>
      </c>
      <c r="C50" t="s">
        <v>1701</v>
      </c>
      <c r="D50" t="s">
        <v>1760</v>
      </c>
      <c r="E50" t="s">
        <v>1761</v>
      </c>
    </row>
    <row r="51" spans="1:5" x14ac:dyDescent="0.25">
      <c r="A51" t="s">
        <v>1020</v>
      </c>
      <c r="B51">
        <v>34</v>
      </c>
      <c r="C51" t="s">
        <v>179</v>
      </c>
      <c r="D51" t="s">
        <v>1762</v>
      </c>
      <c r="E51" t="s">
        <v>1763</v>
      </c>
    </row>
    <row r="52" spans="1:5" x14ac:dyDescent="0.25">
      <c r="A52" t="s">
        <v>926</v>
      </c>
      <c r="B52">
        <v>34</v>
      </c>
      <c r="C52" t="s">
        <v>1691</v>
      </c>
      <c r="D52" t="s">
        <v>1764</v>
      </c>
      <c r="E52" t="s">
        <v>1765</v>
      </c>
    </row>
    <row r="53" spans="1:5" x14ac:dyDescent="0.25">
      <c r="A53" t="s">
        <v>1091</v>
      </c>
      <c r="B53">
        <v>34</v>
      </c>
      <c r="C53" t="s">
        <v>1701</v>
      </c>
      <c r="D53" t="s">
        <v>1766</v>
      </c>
      <c r="E53" t="s">
        <v>1767</v>
      </c>
    </row>
    <row r="54" spans="1:5" x14ac:dyDescent="0.25">
      <c r="A54" t="s">
        <v>413</v>
      </c>
      <c r="B54">
        <v>33</v>
      </c>
      <c r="C54" t="s">
        <v>1743</v>
      </c>
      <c r="D54" t="s">
        <v>1768</v>
      </c>
      <c r="E54" t="s">
        <v>1769</v>
      </c>
    </row>
    <row r="55" spans="1:5" x14ac:dyDescent="0.25">
      <c r="A55" t="s">
        <v>722</v>
      </c>
      <c r="B55">
        <v>33</v>
      </c>
      <c r="C55" t="s">
        <v>1743</v>
      </c>
      <c r="D55" t="s">
        <v>1770</v>
      </c>
      <c r="E55" t="s">
        <v>1771</v>
      </c>
    </row>
    <row r="56" spans="1:5" x14ac:dyDescent="0.25">
      <c r="A56" t="s">
        <v>621</v>
      </c>
      <c r="B56">
        <v>33</v>
      </c>
      <c r="C56" t="s">
        <v>194</v>
      </c>
      <c r="D56" t="s">
        <v>1772</v>
      </c>
      <c r="E56" t="s">
        <v>1773</v>
      </c>
    </row>
    <row r="57" spans="1:5" x14ac:dyDescent="0.25">
      <c r="A57" t="s">
        <v>698</v>
      </c>
      <c r="B57">
        <v>33</v>
      </c>
      <c r="C57" t="s">
        <v>204</v>
      </c>
      <c r="D57" t="s">
        <v>1774</v>
      </c>
      <c r="E57" t="s">
        <v>1775</v>
      </c>
    </row>
    <row r="58" spans="1:5" x14ac:dyDescent="0.25">
      <c r="A58" t="s">
        <v>603</v>
      </c>
      <c r="B58">
        <v>33</v>
      </c>
      <c r="C58" t="s">
        <v>1701</v>
      </c>
      <c r="D58" t="s">
        <v>1776</v>
      </c>
      <c r="E58" t="s">
        <v>1777</v>
      </c>
    </row>
    <row r="59" spans="1:5" x14ac:dyDescent="0.25">
      <c r="A59" t="s">
        <v>1401</v>
      </c>
      <c r="B59">
        <v>33</v>
      </c>
      <c r="C59" t="s">
        <v>176</v>
      </c>
      <c r="D59" t="s">
        <v>1778</v>
      </c>
      <c r="E59" t="s">
        <v>1779</v>
      </c>
    </row>
    <row r="60" spans="1:5" x14ac:dyDescent="0.25">
      <c r="A60" t="s">
        <v>1069</v>
      </c>
      <c r="B60">
        <v>33</v>
      </c>
      <c r="C60" t="s">
        <v>204</v>
      </c>
      <c r="D60" t="s">
        <v>1780</v>
      </c>
      <c r="E60" t="s">
        <v>1781</v>
      </c>
    </row>
    <row r="61" spans="1:5" x14ac:dyDescent="0.25">
      <c r="A61" t="s">
        <v>1450</v>
      </c>
      <c r="B61">
        <v>33</v>
      </c>
      <c r="C61" t="s">
        <v>1668</v>
      </c>
      <c r="D61" t="s">
        <v>1782</v>
      </c>
      <c r="E61" t="s">
        <v>1783</v>
      </c>
    </row>
    <row r="62" spans="1:5" x14ac:dyDescent="0.25">
      <c r="A62" t="s">
        <v>410</v>
      </c>
      <c r="B62">
        <v>32</v>
      </c>
      <c r="C62" t="s">
        <v>1656</v>
      </c>
      <c r="D62" t="s">
        <v>1784</v>
      </c>
      <c r="E62" t="s">
        <v>1785</v>
      </c>
    </row>
    <row r="63" spans="1:5" x14ac:dyDescent="0.25">
      <c r="A63" t="s">
        <v>656</v>
      </c>
      <c r="B63">
        <v>32</v>
      </c>
      <c r="C63" t="s">
        <v>194</v>
      </c>
      <c r="D63" t="s">
        <v>1786</v>
      </c>
      <c r="E63" t="s">
        <v>1787</v>
      </c>
    </row>
    <row r="64" spans="1:5" x14ac:dyDescent="0.25">
      <c r="A64" t="s">
        <v>819</v>
      </c>
      <c r="B64">
        <v>32</v>
      </c>
      <c r="C64" t="s">
        <v>189</v>
      </c>
      <c r="D64" t="s">
        <v>1788</v>
      </c>
      <c r="E64" t="s">
        <v>1789</v>
      </c>
    </row>
    <row r="65" spans="1:5" x14ac:dyDescent="0.25">
      <c r="A65" t="s">
        <v>404</v>
      </c>
      <c r="B65">
        <v>31</v>
      </c>
      <c r="C65" t="s">
        <v>1691</v>
      </c>
      <c r="D65" t="s">
        <v>1790</v>
      </c>
      <c r="E65" t="s">
        <v>1791</v>
      </c>
    </row>
    <row r="66" spans="1:5" x14ac:dyDescent="0.25">
      <c r="A66" t="s">
        <v>990</v>
      </c>
      <c r="B66">
        <v>31</v>
      </c>
      <c r="C66" t="s">
        <v>1653</v>
      </c>
      <c r="D66" t="s">
        <v>1792</v>
      </c>
      <c r="E66" t="s">
        <v>1793</v>
      </c>
    </row>
    <row r="67" spans="1:5" x14ac:dyDescent="0.25">
      <c r="A67" t="s">
        <v>987</v>
      </c>
      <c r="B67">
        <v>31</v>
      </c>
      <c r="C67" t="s">
        <v>1662</v>
      </c>
      <c r="D67" t="s">
        <v>1794</v>
      </c>
      <c r="E67" t="s">
        <v>1795</v>
      </c>
    </row>
    <row r="68" spans="1:5" x14ac:dyDescent="0.25">
      <c r="A68" t="s">
        <v>864</v>
      </c>
      <c r="B68">
        <v>31</v>
      </c>
      <c r="C68" t="s">
        <v>1659</v>
      </c>
      <c r="D68" t="s">
        <v>1796</v>
      </c>
      <c r="E68" t="s">
        <v>1797</v>
      </c>
    </row>
    <row r="69" spans="1:5" x14ac:dyDescent="0.25">
      <c r="A69" t="s">
        <v>1389</v>
      </c>
      <c r="B69">
        <v>31</v>
      </c>
      <c r="C69" t="s">
        <v>202</v>
      </c>
      <c r="D69" t="s">
        <v>1798</v>
      </c>
      <c r="E69" t="s">
        <v>1799</v>
      </c>
    </row>
    <row r="70" spans="1:5" x14ac:dyDescent="0.25">
      <c r="A70" t="s">
        <v>1453</v>
      </c>
      <c r="B70">
        <v>31</v>
      </c>
      <c r="C70" t="s">
        <v>1691</v>
      </c>
      <c r="D70" t="s">
        <v>1800</v>
      </c>
      <c r="E70" t="s">
        <v>1801</v>
      </c>
    </row>
    <row r="71" spans="1:5" x14ac:dyDescent="0.25">
      <c r="A71" t="s">
        <v>1057</v>
      </c>
      <c r="B71">
        <v>31</v>
      </c>
      <c r="C71" t="s">
        <v>1653</v>
      </c>
      <c r="D71" t="s">
        <v>1802</v>
      </c>
      <c r="E71" t="s">
        <v>1803</v>
      </c>
    </row>
    <row r="72" spans="1:5" x14ac:dyDescent="0.25">
      <c r="A72" t="s">
        <v>582</v>
      </c>
      <c r="B72">
        <v>30</v>
      </c>
      <c r="C72" t="s">
        <v>186</v>
      </c>
      <c r="D72" t="s">
        <v>1804</v>
      </c>
      <c r="E72" t="s">
        <v>1805</v>
      </c>
    </row>
    <row r="73" spans="1:5" x14ac:dyDescent="0.25">
      <c r="A73" t="s">
        <v>380</v>
      </c>
      <c r="B73">
        <v>30</v>
      </c>
      <c r="C73" t="s">
        <v>1659</v>
      </c>
      <c r="D73" t="s">
        <v>1806</v>
      </c>
      <c r="E73" t="s">
        <v>1807</v>
      </c>
    </row>
    <row r="74" spans="1:5" x14ac:dyDescent="0.25">
      <c r="A74" t="s">
        <v>834</v>
      </c>
      <c r="B74">
        <v>30</v>
      </c>
      <c r="C74" t="s">
        <v>181</v>
      </c>
      <c r="D74" t="s">
        <v>1808</v>
      </c>
      <c r="E74" t="s">
        <v>1809</v>
      </c>
    </row>
    <row r="75" spans="1:5" x14ac:dyDescent="0.25">
      <c r="A75" t="s">
        <v>517</v>
      </c>
      <c r="B75">
        <v>30</v>
      </c>
      <c r="C75" t="s">
        <v>194</v>
      </c>
      <c r="D75" t="s">
        <v>1810</v>
      </c>
      <c r="E75" t="s">
        <v>1811</v>
      </c>
    </row>
    <row r="76" spans="1:5" x14ac:dyDescent="0.25">
      <c r="A76" t="s">
        <v>1136</v>
      </c>
      <c r="B76">
        <v>30</v>
      </c>
      <c r="C76" t="s">
        <v>1743</v>
      </c>
      <c r="D76" t="s">
        <v>1812</v>
      </c>
      <c r="E76" t="s">
        <v>1813</v>
      </c>
    </row>
    <row r="77" spans="1:5" x14ac:dyDescent="0.25">
      <c r="A77" t="s">
        <v>472</v>
      </c>
      <c r="B77">
        <v>29</v>
      </c>
      <c r="C77" t="s">
        <v>1732</v>
      </c>
      <c r="D77" t="s">
        <v>1814</v>
      </c>
      <c r="E77" t="s">
        <v>1815</v>
      </c>
    </row>
    <row r="78" spans="1:5" x14ac:dyDescent="0.25">
      <c r="A78" t="s">
        <v>894</v>
      </c>
      <c r="B78">
        <v>29</v>
      </c>
      <c r="C78" t="s">
        <v>1671</v>
      </c>
      <c r="D78" t="s">
        <v>1816</v>
      </c>
      <c r="E78" t="s">
        <v>1817</v>
      </c>
    </row>
    <row r="79" spans="1:5" x14ac:dyDescent="0.25">
      <c r="A79" t="s">
        <v>692</v>
      </c>
      <c r="B79">
        <v>29</v>
      </c>
      <c r="C79" t="s">
        <v>1691</v>
      </c>
      <c r="D79" t="s">
        <v>1818</v>
      </c>
      <c r="E79" t="s">
        <v>1819</v>
      </c>
    </row>
    <row r="80" spans="1:5" x14ac:dyDescent="0.25">
      <c r="A80" t="s">
        <v>383</v>
      </c>
      <c r="B80">
        <v>29</v>
      </c>
      <c r="C80" t="s">
        <v>1732</v>
      </c>
      <c r="D80" t="s">
        <v>1820</v>
      </c>
      <c r="E80" t="s">
        <v>1821</v>
      </c>
    </row>
    <row r="81" spans="1:5" x14ac:dyDescent="0.25">
      <c r="A81" t="s">
        <v>929</v>
      </c>
      <c r="B81">
        <v>29</v>
      </c>
      <c r="C81" t="s">
        <v>186</v>
      </c>
      <c r="D81" t="s">
        <v>1822</v>
      </c>
      <c r="E81" t="s">
        <v>1823</v>
      </c>
    </row>
    <row r="82" spans="1:5" x14ac:dyDescent="0.25">
      <c r="A82" t="s">
        <v>1004</v>
      </c>
      <c r="B82">
        <v>29</v>
      </c>
      <c r="C82" t="s">
        <v>221</v>
      </c>
      <c r="D82" t="s">
        <v>1824</v>
      </c>
      <c r="E82" t="s">
        <v>1825</v>
      </c>
    </row>
    <row r="83" spans="1:5" x14ac:dyDescent="0.25">
      <c r="A83" t="s">
        <v>787</v>
      </c>
      <c r="B83">
        <v>29</v>
      </c>
      <c r="C83" t="s">
        <v>1701</v>
      </c>
      <c r="D83" t="s">
        <v>1826</v>
      </c>
      <c r="E83" t="s">
        <v>1827</v>
      </c>
    </row>
    <row r="84" spans="1:5" x14ac:dyDescent="0.25">
      <c r="A84" t="s">
        <v>1395</v>
      </c>
      <c r="B84">
        <v>29</v>
      </c>
      <c r="C84" t="s">
        <v>189</v>
      </c>
      <c r="D84" t="s">
        <v>1828</v>
      </c>
      <c r="E84" t="s">
        <v>1829</v>
      </c>
    </row>
    <row r="85" spans="1:5" x14ac:dyDescent="0.25">
      <c r="A85" t="s">
        <v>1407</v>
      </c>
      <c r="B85">
        <v>29</v>
      </c>
      <c r="C85" t="s">
        <v>1732</v>
      </c>
      <c r="D85" t="s">
        <v>1830</v>
      </c>
      <c r="E85" t="s">
        <v>1831</v>
      </c>
    </row>
    <row r="86" spans="1:5" x14ac:dyDescent="0.25">
      <c r="A86" t="s">
        <v>1039</v>
      </c>
      <c r="B86">
        <v>29</v>
      </c>
      <c r="C86" t="s">
        <v>1653</v>
      </c>
      <c r="D86" t="s">
        <v>1832</v>
      </c>
      <c r="E86" t="s">
        <v>1833</v>
      </c>
    </row>
    <row r="87" spans="1:5" x14ac:dyDescent="0.25">
      <c r="A87" t="s">
        <v>398</v>
      </c>
      <c r="B87">
        <v>28</v>
      </c>
      <c r="C87" t="s">
        <v>1732</v>
      </c>
      <c r="D87" t="s">
        <v>1834</v>
      </c>
      <c r="E87" t="s">
        <v>1835</v>
      </c>
    </row>
    <row r="88" spans="1:5" x14ac:dyDescent="0.25">
      <c r="A88" t="s">
        <v>609</v>
      </c>
      <c r="B88">
        <v>28</v>
      </c>
      <c r="C88" t="s">
        <v>1668</v>
      </c>
      <c r="D88" t="s">
        <v>1836</v>
      </c>
      <c r="E88" t="s">
        <v>1837</v>
      </c>
    </row>
    <row r="89" spans="1:5" x14ac:dyDescent="0.25">
      <c r="A89" t="s">
        <v>965</v>
      </c>
      <c r="B89">
        <v>28</v>
      </c>
      <c r="C89" t="s">
        <v>204</v>
      </c>
      <c r="D89" t="s">
        <v>1838</v>
      </c>
      <c r="E89" t="s">
        <v>1839</v>
      </c>
    </row>
    <row r="90" spans="1:5" x14ac:dyDescent="0.25">
      <c r="A90" t="s">
        <v>1014</v>
      </c>
      <c r="B90">
        <v>28</v>
      </c>
      <c r="C90" t="s">
        <v>189</v>
      </c>
      <c r="D90" t="s">
        <v>1840</v>
      </c>
      <c r="E90" t="s">
        <v>1841</v>
      </c>
    </row>
    <row r="91" spans="1:5" x14ac:dyDescent="0.25">
      <c r="A91" t="s">
        <v>1410</v>
      </c>
      <c r="B91">
        <v>28</v>
      </c>
      <c r="C91" t="s">
        <v>202</v>
      </c>
      <c r="D91" t="s">
        <v>1842</v>
      </c>
      <c r="E91" t="s">
        <v>1843</v>
      </c>
    </row>
    <row r="92" spans="1:5" x14ac:dyDescent="0.25">
      <c r="A92" t="s">
        <v>1456</v>
      </c>
      <c r="B92">
        <v>28</v>
      </c>
      <c r="C92" t="s">
        <v>181</v>
      </c>
      <c r="D92" t="s">
        <v>1844</v>
      </c>
      <c r="E92" t="s">
        <v>1845</v>
      </c>
    </row>
    <row r="93" spans="1:5" x14ac:dyDescent="0.25">
      <c r="A93" t="s">
        <v>532</v>
      </c>
      <c r="B93">
        <v>27</v>
      </c>
      <c r="C93" t="s">
        <v>1691</v>
      </c>
      <c r="D93" t="s">
        <v>1846</v>
      </c>
      <c r="E93" t="s">
        <v>1847</v>
      </c>
    </row>
    <row r="94" spans="1:5" x14ac:dyDescent="0.25">
      <c r="A94" t="s">
        <v>475</v>
      </c>
      <c r="B94">
        <v>27</v>
      </c>
      <c r="C94" t="s">
        <v>1656</v>
      </c>
      <c r="D94" t="s">
        <v>1848</v>
      </c>
      <c r="E94" t="s">
        <v>1849</v>
      </c>
    </row>
    <row r="95" spans="1:5" x14ac:dyDescent="0.25">
      <c r="A95" t="s">
        <v>1629</v>
      </c>
      <c r="B95">
        <v>27</v>
      </c>
      <c r="C95" t="s">
        <v>202</v>
      </c>
      <c r="D95" t="s">
        <v>1850</v>
      </c>
      <c r="E95" t="s">
        <v>1851</v>
      </c>
    </row>
    <row r="96" spans="1:5" x14ac:dyDescent="0.25">
      <c r="A96" t="s">
        <v>1199</v>
      </c>
      <c r="B96">
        <v>27</v>
      </c>
      <c r="C96" t="s">
        <v>204</v>
      </c>
      <c r="D96" t="s">
        <v>1852</v>
      </c>
      <c r="E96" t="s">
        <v>1853</v>
      </c>
    </row>
    <row r="97" spans="1:5" x14ac:dyDescent="0.25">
      <c r="A97" t="s">
        <v>1239</v>
      </c>
      <c r="B97">
        <v>27</v>
      </c>
      <c r="C97" t="s">
        <v>189</v>
      </c>
      <c r="D97" t="s">
        <v>1854</v>
      </c>
      <c r="E97" t="s">
        <v>1855</v>
      </c>
    </row>
    <row r="98" spans="1:5" x14ac:dyDescent="0.25">
      <c r="A98" t="s">
        <v>956</v>
      </c>
      <c r="B98">
        <v>26</v>
      </c>
      <c r="C98" t="s">
        <v>181</v>
      </c>
      <c r="D98" t="s">
        <v>1856</v>
      </c>
      <c r="E98" t="s">
        <v>1857</v>
      </c>
    </row>
    <row r="99" spans="1:5" x14ac:dyDescent="0.25">
      <c r="A99" t="s">
        <v>526</v>
      </c>
      <c r="B99">
        <v>26</v>
      </c>
      <c r="C99" t="s">
        <v>204</v>
      </c>
      <c r="D99" t="s">
        <v>1858</v>
      </c>
      <c r="E99" t="s">
        <v>1859</v>
      </c>
    </row>
    <row r="100" spans="1:5" x14ac:dyDescent="0.25">
      <c r="A100" t="s">
        <v>624</v>
      </c>
      <c r="B100">
        <v>26</v>
      </c>
      <c r="C100" t="s">
        <v>204</v>
      </c>
      <c r="D100" t="s">
        <v>1860</v>
      </c>
      <c r="E100" t="s">
        <v>1861</v>
      </c>
    </row>
    <row r="101" spans="1:5" x14ac:dyDescent="0.25">
      <c r="A101" t="s">
        <v>454</v>
      </c>
      <c r="B101">
        <v>26</v>
      </c>
      <c r="C101" t="s">
        <v>1691</v>
      </c>
      <c r="D101" t="s">
        <v>1862</v>
      </c>
      <c r="E101" t="s">
        <v>1863</v>
      </c>
    </row>
    <row r="102" spans="1:5" x14ac:dyDescent="0.25">
      <c r="A102" t="s">
        <v>772</v>
      </c>
      <c r="B102">
        <v>26</v>
      </c>
      <c r="C102" t="s">
        <v>1743</v>
      </c>
      <c r="D102" t="s">
        <v>1864</v>
      </c>
      <c r="E102" t="s">
        <v>1865</v>
      </c>
    </row>
    <row r="103" spans="1:5" x14ac:dyDescent="0.25">
      <c r="A103" t="s">
        <v>751</v>
      </c>
      <c r="B103">
        <v>26</v>
      </c>
      <c r="C103" t="s">
        <v>1653</v>
      </c>
      <c r="D103" t="s">
        <v>1866</v>
      </c>
      <c r="E103" t="s">
        <v>1867</v>
      </c>
    </row>
    <row r="104" spans="1:5" x14ac:dyDescent="0.25">
      <c r="A104" t="s">
        <v>739</v>
      </c>
      <c r="B104">
        <v>26</v>
      </c>
      <c r="C104" t="s">
        <v>1701</v>
      </c>
      <c r="D104" t="s">
        <v>1868</v>
      </c>
      <c r="E104" t="s">
        <v>1869</v>
      </c>
    </row>
    <row r="105" spans="1:5" x14ac:dyDescent="0.25">
      <c r="A105" t="s">
        <v>906</v>
      </c>
      <c r="B105">
        <v>26</v>
      </c>
      <c r="C105" t="s">
        <v>1701</v>
      </c>
      <c r="D105" t="s">
        <v>1870</v>
      </c>
      <c r="E105" t="s">
        <v>1871</v>
      </c>
    </row>
    <row r="106" spans="1:5" x14ac:dyDescent="0.25">
      <c r="A106" t="s">
        <v>1416</v>
      </c>
      <c r="B106">
        <v>26</v>
      </c>
      <c r="C106" t="s">
        <v>1659</v>
      </c>
      <c r="D106" t="s">
        <v>1872</v>
      </c>
      <c r="E106" t="s">
        <v>1873</v>
      </c>
    </row>
    <row r="107" spans="1:5" x14ac:dyDescent="0.25">
      <c r="A107" t="s">
        <v>867</v>
      </c>
      <c r="B107">
        <v>26</v>
      </c>
      <c r="C107" t="s">
        <v>181</v>
      </c>
      <c r="D107" t="s">
        <v>1874</v>
      </c>
      <c r="E107" t="s">
        <v>1875</v>
      </c>
    </row>
    <row r="108" spans="1:5" x14ac:dyDescent="0.25">
      <c r="A108" t="s">
        <v>1429</v>
      </c>
      <c r="B108">
        <v>26</v>
      </c>
      <c r="C108" t="s">
        <v>1659</v>
      </c>
      <c r="D108" t="s">
        <v>1876</v>
      </c>
      <c r="E108" t="s">
        <v>1877</v>
      </c>
    </row>
    <row r="109" spans="1:5" x14ac:dyDescent="0.25">
      <c r="A109" t="s">
        <v>585</v>
      </c>
      <c r="B109">
        <v>25</v>
      </c>
      <c r="C109" t="s">
        <v>1653</v>
      </c>
      <c r="D109" t="s">
        <v>1878</v>
      </c>
      <c r="E109" t="s">
        <v>1879</v>
      </c>
    </row>
    <row r="110" spans="1:5" x14ac:dyDescent="0.25">
      <c r="A110" t="s">
        <v>552</v>
      </c>
      <c r="B110">
        <v>25</v>
      </c>
      <c r="C110" t="s">
        <v>204</v>
      </c>
      <c r="D110" t="s">
        <v>1880</v>
      </c>
      <c r="E110" t="s">
        <v>1881</v>
      </c>
    </row>
    <row r="111" spans="1:5" x14ac:dyDescent="0.25">
      <c r="A111" t="s">
        <v>1017</v>
      </c>
      <c r="B111">
        <v>25</v>
      </c>
      <c r="C111" t="s">
        <v>202</v>
      </c>
      <c r="D111" t="s">
        <v>1882</v>
      </c>
      <c r="E111" t="s">
        <v>1883</v>
      </c>
    </row>
    <row r="112" spans="1:5" x14ac:dyDescent="0.25">
      <c r="A112" t="s">
        <v>668</v>
      </c>
      <c r="B112">
        <v>25</v>
      </c>
      <c r="C112" t="s">
        <v>221</v>
      </c>
      <c r="D112" t="s">
        <v>1884</v>
      </c>
      <c r="E112" t="s">
        <v>1885</v>
      </c>
    </row>
    <row r="113" spans="1:5" x14ac:dyDescent="0.25">
      <c r="A113" t="s">
        <v>1255</v>
      </c>
      <c r="B113">
        <v>25</v>
      </c>
      <c r="C113" t="s">
        <v>1659</v>
      </c>
      <c r="D113" t="s">
        <v>1886</v>
      </c>
      <c r="E113" t="s">
        <v>1887</v>
      </c>
    </row>
    <row r="114" spans="1:5" x14ac:dyDescent="0.25">
      <c r="A114" t="s">
        <v>374</v>
      </c>
      <c r="B114">
        <v>24</v>
      </c>
      <c r="C114" t="s">
        <v>186</v>
      </c>
      <c r="D114" t="s">
        <v>1888</v>
      </c>
      <c r="E114" t="s">
        <v>1889</v>
      </c>
    </row>
    <row r="115" spans="1:5" x14ac:dyDescent="0.25">
      <c r="A115" t="s">
        <v>445</v>
      </c>
      <c r="B115">
        <v>24</v>
      </c>
      <c r="C115" t="s">
        <v>1701</v>
      </c>
      <c r="D115" t="s">
        <v>1890</v>
      </c>
      <c r="E115" t="s">
        <v>1891</v>
      </c>
    </row>
    <row r="116" spans="1:5" x14ac:dyDescent="0.25">
      <c r="A116" t="s">
        <v>710</v>
      </c>
      <c r="B116">
        <v>24</v>
      </c>
      <c r="C116" t="s">
        <v>221</v>
      </c>
      <c r="D116" t="s">
        <v>1892</v>
      </c>
      <c r="E116" t="s">
        <v>1893</v>
      </c>
    </row>
    <row r="117" spans="1:5" x14ac:dyDescent="0.25">
      <c r="A117" t="s">
        <v>1133</v>
      </c>
      <c r="B117">
        <v>24</v>
      </c>
      <c r="C117" t="s">
        <v>176</v>
      </c>
      <c r="D117" t="s">
        <v>1894</v>
      </c>
      <c r="E117" t="s">
        <v>1895</v>
      </c>
    </row>
    <row r="118" spans="1:5" x14ac:dyDescent="0.25">
      <c r="A118" t="s">
        <v>885</v>
      </c>
      <c r="B118">
        <v>24</v>
      </c>
      <c r="C118" t="s">
        <v>1732</v>
      </c>
      <c r="D118" t="s">
        <v>1896</v>
      </c>
      <c r="E118" t="s">
        <v>1897</v>
      </c>
    </row>
    <row r="119" spans="1:5" x14ac:dyDescent="0.25">
      <c r="A119" t="s">
        <v>1462</v>
      </c>
      <c r="B119">
        <v>24</v>
      </c>
      <c r="C119" t="s">
        <v>1732</v>
      </c>
      <c r="D119" t="s">
        <v>1898</v>
      </c>
      <c r="E119" t="s">
        <v>1899</v>
      </c>
    </row>
    <row r="120" spans="1:5" x14ac:dyDescent="0.25">
      <c r="A120" t="s">
        <v>1216</v>
      </c>
      <c r="B120">
        <v>24</v>
      </c>
      <c r="C120" t="s">
        <v>1691</v>
      </c>
      <c r="D120" t="s">
        <v>1900</v>
      </c>
      <c r="E120" t="s">
        <v>1901</v>
      </c>
    </row>
    <row r="121" spans="1:5" x14ac:dyDescent="0.25">
      <c r="A121" t="s">
        <v>1234</v>
      </c>
      <c r="B121">
        <v>24</v>
      </c>
      <c r="C121" t="s">
        <v>1743</v>
      </c>
      <c r="D121" t="s">
        <v>1902</v>
      </c>
      <c r="E121" t="s">
        <v>1903</v>
      </c>
    </row>
    <row r="122" spans="1:5" x14ac:dyDescent="0.25">
      <c r="A122" t="s">
        <v>1581</v>
      </c>
      <c r="B122">
        <v>24</v>
      </c>
      <c r="C122" t="s">
        <v>202</v>
      </c>
      <c r="D122" t="s">
        <v>1904</v>
      </c>
      <c r="E122" t="s">
        <v>1905</v>
      </c>
    </row>
    <row r="123" spans="1:5" x14ac:dyDescent="0.25">
      <c r="A123" t="s">
        <v>422</v>
      </c>
      <c r="B123">
        <v>23</v>
      </c>
      <c r="C123" t="s">
        <v>1653</v>
      </c>
      <c r="D123" t="s">
        <v>1906</v>
      </c>
      <c r="E123" t="s">
        <v>1907</v>
      </c>
    </row>
    <row r="124" spans="1:5" x14ac:dyDescent="0.25">
      <c r="A124" t="s">
        <v>431</v>
      </c>
      <c r="B124">
        <v>23</v>
      </c>
      <c r="C124" t="s">
        <v>1743</v>
      </c>
      <c r="D124" t="s">
        <v>1908</v>
      </c>
      <c r="E124" t="s">
        <v>1909</v>
      </c>
    </row>
    <row r="125" spans="1:5" x14ac:dyDescent="0.25">
      <c r="A125" t="s">
        <v>1488</v>
      </c>
      <c r="B125">
        <v>23</v>
      </c>
      <c r="C125" t="s">
        <v>189</v>
      </c>
      <c r="D125" t="s">
        <v>1910</v>
      </c>
      <c r="E125" t="s">
        <v>1911</v>
      </c>
    </row>
    <row r="126" spans="1:5" x14ac:dyDescent="0.25">
      <c r="A126" t="s">
        <v>1118</v>
      </c>
      <c r="B126">
        <v>23</v>
      </c>
      <c r="C126" t="s">
        <v>189</v>
      </c>
      <c r="D126" t="s">
        <v>1912</v>
      </c>
      <c r="E126" t="s">
        <v>1913</v>
      </c>
    </row>
    <row r="127" spans="1:5" x14ac:dyDescent="0.25">
      <c r="A127" t="s">
        <v>1413</v>
      </c>
      <c r="B127">
        <v>23</v>
      </c>
      <c r="C127" t="s">
        <v>176</v>
      </c>
      <c r="D127" t="s">
        <v>1914</v>
      </c>
      <c r="E127" t="s">
        <v>1915</v>
      </c>
    </row>
    <row r="128" spans="1:5" x14ac:dyDescent="0.25">
      <c r="A128" t="s">
        <v>1459</v>
      </c>
      <c r="B128">
        <v>23</v>
      </c>
      <c r="C128" t="s">
        <v>194</v>
      </c>
      <c r="D128" t="s">
        <v>1916</v>
      </c>
      <c r="E128" t="s">
        <v>1917</v>
      </c>
    </row>
    <row r="129" spans="1:5" x14ac:dyDescent="0.25">
      <c r="A129" t="s">
        <v>1299</v>
      </c>
      <c r="B129">
        <v>23</v>
      </c>
      <c r="C129" t="s">
        <v>202</v>
      </c>
      <c r="D129" t="s">
        <v>1918</v>
      </c>
      <c r="E129" t="s">
        <v>1919</v>
      </c>
    </row>
    <row r="130" spans="1:5" x14ac:dyDescent="0.25">
      <c r="A130" t="s">
        <v>439</v>
      </c>
      <c r="B130">
        <v>22</v>
      </c>
      <c r="C130" t="s">
        <v>204</v>
      </c>
      <c r="D130" t="s">
        <v>1920</v>
      </c>
      <c r="E130" t="s">
        <v>1921</v>
      </c>
    </row>
    <row r="131" spans="1:5" x14ac:dyDescent="0.25">
      <c r="A131" t="s">
        <v>630</v>
      </c>
      <c r="B131">
        <v>22</v>
      </c>
      <c r="C131" t="s">
        <v>1732</v>
      </c>
      <c r="D131" t="s">
        <v>1922</v>
      </c>
      <c r="E131" t="s">
        <v>1923</v>
      </c>
    </row>
    <row r="132" spans="1:5" x14ac:dyDescent="0.25">
      <c r="A132" t="s">
        <v>914</v>
      </c>
      <c r="B132">
        <v>22</v>
      </c>
      <c r="C132" t="s">
        <v>1656</v>
      </c>
      <c r="D132" t="s">
        <v>1924</v>
      </c>
      <c r="E132" t="s">
        <v>1925</v>
      </c>
    </row>
    <row r="133" spans="1:5" x14ac:dyDescent="0.25">
      <c r="A133" t="s">
        <v>917</v>
      </c>
      <c r="B133">
        <v>22</v>
      </c>
      <c r="C133" t="s">
        <v>204</v>
      </c>
      <c r="D133" t="s">
        <v>1926</v>
      </c>
      <c r="E133" t="s">
        <v>1927</v>
      </c>
    </row>
    <row r="134" spans="1:5" x14ac:dyDescent="0.25">
      <c r="A134" t="s">
        <v>600</v>
      </c>
      <c r="B134">
        <v>22</v>
      </c>
      <c r="C134" t="s">
        <v>1743</v>
      </c>
      <c r="D134" t="s">
        <v>1928</v>
      </c>
      <c r="E134" t="s">
        <v>1929</v>
      </c>
    </row>
    <row r="135" spans="1:5" x14ac:dyDescent="0.25">
      <c r="A135" t="s">
        <v>935</v>
      </c>
      <c r="B135">
        <v>22</v>
      </c>
      <c r="C135" t="s">
        <v>1743</v>
      </c>
      <c r="D135" t="s">
        <v>1930</v>
      </c>
      <c r="E135" t="s">
        <v>1931</v>
      </c>
    </row>
    <row r="136" spans="1:5" x14ac:dyDescent="0.25">
      <c r="A136" t="s">
        <v>849</v>
      </c>
      <c r="B136">
        <v>22</v>
      </c>
      <c r="C136" t="s">
        <v>198</v>
      </c>
      <c r="D136" t="s">
        <v>1932</v>
      </c>
      <c r="E136" t="s">
        <v>1933</v>
      </c>
    </row>
    <row r="137" spans="1:5" x14ac:dyDescent="0.25">
      <c r="A137" t="s">
        <v>1066</v>
      </c>
      <c r="B137">
        <v>22</v>
      </c>
      <c r="C137" t="s">
        <v>176</v>
      </c>
      <c r="D137" t="s">
        <v>1934</v>
      </c>
      <c r="E137" t="s">
        <v>1935</v>
      </c>
    </row>
    <row r="138" spans="1:5" x14ac:dyDescent="0.25">
      <c r="A138" t="s">
        <v>1151</v>
      </c>
      <c r="B138">
        <v>22</v>
      </c>
      <c r="C138" t="s">
        <v>194</v>
      </c>
      <c r="D138" t="s">
        <v>1936</v>
      </c>
      <c r="E138" t="s">
        <v>1937</v>
      </c>
    </row>
    <row r="139" spans="1:5" x14ac:dyDescent="0.25">
      <c r="A139" t="s">
        <v>1181</v>
      </c>
      <c r="B139">
        <v>22</v>
      </c>
      <c r="C139" t="s">
        <v>198</v>
      </c>
      <c r="D139" t="s">
        <v>1938</v>
      </c>
      <c r="E139" t="s">
        <v>1939</v>
      </c>
    </row>
    <row r="140" spans="1:5" x14ac:dyDescent="0.25">
      <c r="A140" t="s">
        <v>1208</v>
      </c>
      <c r="B140">
        <v>22</v>
      </c>
      <c r="C140" t="s">
        <v>1691</v>
      </c>
      <c r="D140" t="s">
        <v>1940</v>
      </c>
      <c r="E140" t="s">
        <v>1941</v>
      </c>
    </row>
    <row r="141" spans="1:5" x14ac:dyDescent="0.25">
      <c r="A141" t="s">
        <v>416</v>
      </c>
      <c r="B141">
        <v>21</v>
      </c>
      <c r="C141" t="s">
        <v>1732</v>
      </c>
      <c r="D141" t="s">
        <v>1942</v>
      </c>
      <c r="E141" t="s">
        <v>1943</v>
      </c>
    </row>
    <row r="142" spans="1:5" x14ac:dyDescent="0.25">
      <c r="A142" t="s">
        <v>1639</v>
      </c>
      <c r="B142">
        <v>21</v>
      </c>
      <c r="C142" t="s">
        <v>1701</v>
      </c>
      <c r="D142" t="s">
        <v>1944</v>
      </c>
      <c r="E142" t="s">
        <v>1945</v>
      </c>
    </row>
    <row r="143" spans="1:5" x14ac:dyDescent="0.25">
      <c r="A143" t="s">
        <v>781</v>
      </c>
      <c r="B143">
        <v>21</v>
      </c>
      <c r="C143" t="s">
        <v>198</v>
      </c>
      <c r="D143" t="s">
        <v>1946</v>
      </c>
      <c r="E143" t="s">
        <v>1947</v>
      </c>
    </row>
    <row r="144" spans="1:5" x14ac:dyDescent="0.25">
      <c r="A144" t="s">
        <v>644</v>
      </c>
      <c r="B144">
        <v>21</v>
      </c>
      <c r="C144" t="s">
        <v>1732</v>
      </c>
      <c r="D144" t="s">
        <v>1948</v>
      </c>
      <c r="E144" t="s">
        <v>1949</v>
      </c>
    </row>
    <row r="145" spans="1:5" x14ac:dyDescent="0.25">
      <c r="A145" t="s">
        <v>825</v>
      </c>
      <c r="B145">
        <v>21</v>
      </c>
      <c r="C145" t="s">
        <v>194</v>
      </c>
      <c r="D145" t="s">
        <v>1950</v>
      </c>
      <c r="E145" t="s">
        <v>1951</v>
      </c>
    </row>
    <row r="146" spans="1:5" x14ac:dyDescent="0.25">
      <c r="A146" t="s">
        <v>1398</v>
      </c>
      <c r="B146">
        <v>21</v>
      </c>
      <c r="C146" t="s">
        <v>198</v>
      </c>
      <c r="D146" t="s">
        <v>1952</v>
      </c>
      <c r="E146" t="s">
        <v>1953</v>
      </c>
    </row>
    <row r="147" spans="1:5" x14ac:dyDescent="0.25">
      <c r="A147" t="s">
        <v>1112</v>
      </c>
      <c r="B147">
        <v>21</v>
      </c>
      <c r="C147" t="s">
        <v>181</v>
      </c>
      <c r="D147" t="s">
        <v>1954</v>
      </c>
      <c r="E147" t="s">
        <v>1955</v>
      </c>
    </row>
    <row r="148" spans="1:5" x14ac:dyDescent="0.25">
      <c r="A148" t="s">
        <v>876</v>
      </c>
      <c r="B148">
        <v>21</v>
      </c>
      <c r="C148" t="s">
        <v>176</v>
      </c>
      <c r="D148" t="s">
        <v>1956</v>
      </c>
      <c r="E148" t="s">
        <v>1957</v>
      </c>
    </row>
    <row r="149" spans="1:5" x14ac:dyDescent="0.25">
      <c r="A149" t="s">
        <v>1465</v>
      </c>
      <c r="B149">
        <v>21</v>
      </c>
      <c r="C149" t="s">
        <v>181</v>
      </c>
      <c r="D149" t="s">
        <v>1958</v>
      </c>
      <c r="E149" t="s">
        <v>1959</v>
      </c>
    </row>
    <row r="150" spans="1:5" x14ac:dyDescent="0.25">
      <c r="A150" t="s">
        <v>535</v>
      </c>
      <c r="B150">
        <v>20</v>
      </c>
      <c r="C150" t="s">
        <v>176</v>
      </c>
      <c r="D150" t="s">
        <v>1960</v>
      </c>
      <c r="E150" t="s">
        <v>1961</v>
      </c>
    </row>
    <row r="151" spans="1:5" x14ac:dyDescent="0.25">
      <c r="A151" t="s">
        <v>428</v>
      </c>
      <c r="B151">
        <v>20</v>
      </c>
      <c r="C151" t="s">
        <v>198</v>
      </c>
      <c r="D151" t="s">
        <v>1962</v>
      </c>
      <c r="E151" t="s">
        <v>1963</v>
      </c>
    </row>
    <row r="152" spans="1:5" x14ac:dyDescent="0.25">
      <c r="A152" t="s">
        <v>831</v>
      </c>
      <c r="B152">
        <v>20</v>
      </c>
      <c r="C152" t="s">
        <v>198</v>
      </c>
      <c r="D152" t="s">
        <v>1964</v>
      </c>
      <c r="E152" t="s">
        <v>1965</v>
      </c>
    </row>
    <row r="153" spans="1:5" x14ac:dyDescent="0.25">
      <c r="A153" t="s">
        <v>790</v>
      </c>
      <c r="B153">
        <v>20</v>
      </c>
      <c r="C153" t="s">
        <v>198</v>
      </c>
      <c r="D153" t="s">
        <v>1966</v>
      </c>
      <c r="E153" t="s">
        <v>1967</v>
      </c>
    </row>
    <row r="154" spans="1:5" x14ac:dyDescent="0.25">
      <c r="A154" t="s">
        <v>460</v>
      </c>
      <c r="B154">
        <v>20</v>
      </c>
      <c r="C154" t="s">
        <v>176</v>
      </c>
      <c r="D154" t="s">
        <v>1968</v>
      </c>
      <c r="E154" t="s">
        <v>1969</v>
      </c>
    </row>
    <row r="155" spans="1:5" x14ac:dyDescent="0.25">
      <c r="A155" t="s">
        <v>308</v>
      </c>
      <c r="B155">
        <v>20</v>
      </c>
      <c r="C155" t="s">
        <v>176</v>
      </c>
      <c r="D155" t="s">
        <v>1970</v>
      </c>
      <c r="E155" t="s">
        <v>1971</v>
      </c>
    </row>
    <row r="156" spans="1:5" x14ac:dyDescent="0.25">
      <c r="A156" t="s">
        <v>442</v>
      </c>
      <c r="B156">
        <v>19</v>
      </c>
      <c r="C156" t="s">
        <v>1732</v>
      </c>
      <c r="D156" t="s">
        <v>1972</v>
      </c>
      <c r="E156" t="s">
        <v>1973</v>
      </c>
    </row>
    <row r="157" spans="1:5" x14ac:dyDescent="0.25">
      <c r="A157" t="s">
        <v>555</v>
      </c>
      <c r="B157">
        <v>19</v>
      </c>
      <c r="C157" t="s">
        <v>204</v>
      </c>
      <c r="D157" t="s">
        <v>1974</v>
      </c>
      <c r="E157" t="s">
        <v>1975</v>
      </c>
    </row>
    <row r="158" spans="1:5" x14ac:dyDescent="0.25">
      <c r="A158" t="s">
        <v>615</v>
      </c>
      <c r="B158">
        <v>19</v>
      </c>
      <c r="C158" t="s">
        <v>189</v>
      </c>
      <c r="D158" t="s">
        <v>1976</v>
      </c>
      <c r="E158" t="s">
        <v>1977</v>
      </c>
    </row>
    <row r="159" spans="1:5" x14ac:dyDescent="0.25">
      <c r="A159" t="s">
        <v>618</v>
      </c>
      <c r="B159">
        <v>19</v>
      </c>
      <c r="C159" t="s">
        <v>202</v>
      </c>
      <c r="D159" t="s">
        <v>1978</v>
      </c>
      <c r="E159" t="s">
        <v>1979</v>
      </c>
    </row>
    <row r="160" spans="1:5" x14ac:dyDescent="0.25">
      <c r="A160" t="s">
        <v>728</v>
      </c>
      <c r="B160">
        <v>19</v>
      </c>
      <c r="C160" t="s">
        <v>1691</v>
      </c>
      <c r="D160" t="s">
        <v>1980</v>
      </c>
      <c r="E160" t="s">
        <v>1981</v>
      </c>
    </row>
    <row r="161" spans="1:5" x14ac:dyDescent="0.25">
      <c r="A161" t="s">
        <v>597</v>
      </c>
      <c r="B161">
        <v>19</v>
      </c>
      <c r="C161" t="s">
        <v>1732</v>
      </c>
      <c r="D161" t="s">
        <v>1982</v>
      </c>
      <c r="E161" t="s">
        <v>1983</v>
      </c>
    </row>
    <row r="162" spans="1:5" x14ac:dyDescent="0.25">
      <c r="A162" t="s">
        <v>858</v>
      </c>
      <c r="B162">
        <v>19</v>
      </c>
      <c r="C162" t="s">
        <v>1743</v>
      </c>
      <c r="D162" t="s">
        <v>1984</v>
      </c>
      <c r="E162" t="s">
        <v>1985</v>
      </c>
    </row>
    <row r="163" spans="1:5" x14ac:dyDescent="0.25">
      <c r="A163" t="s">
        <v>1497</v>
      </c>
      <c r="B163">
        <v>19</v>
      </c>
      <c r="C163" t="s">
        <v>1732</v>
      </c>
      <c r="D163" t="s">
        <v>1986</v>
      </c>
      <c r="E163" t="s">
        <v>1987</v>
      </c>
    </row>
    <row r="164" spans="1:5" x14ac:dyDescent="0.25">
      <c r="A164" t="s">
        <v>1115</v>
      </c>
      <c r="B164">
        <v>19</v>
      </c>
      <c r="C164" t="s">
        <v>176</v>
      </c>
      <c r="D164" t="s">
        <v>1988</v>
      </c>
      <c r="E164" t="s">
        <v>1989</v>
      </c>
    </row>
    <row r="165" spans="1:5" x14ac:dyDescent="0.25">
      <c r="A165" t="s">
        <v>1045</v>
      </c>
      <c r="B165">
        <v>19</v>
      </c>
      <c r="C165" t="s">
        <v>194</v>
      </c>
      <c r="D165" t="s">
        <v>1990</v>
      </c>
      <c r="E165" t="s">
        <v>1991</v>
      </c>
    </row>
    <row r="166" spans="1:5" x14ac:dyDescent="0.25">
      <c r="A166" t="s">
        <v>1172</v>
      </c>
      <c r="B166">
        <v>19</v>
      </c>
      <c r="C166" t="s">
        <v>1732</v>
      </c>
      <c r="D166" t="s">
        <v>1992</v>
      </c>
      <c r="E166" t="s">
        <v>1993</v>
      </c>
    </row>
    <row r="167" spans="1:5" x14ac:dyDescent="0.25">
      <c r="A167" t="s">
        <v>567</v>
      </c>
      <c r="B167">
        <v>18</v>
      </c>
      <c r="C167" t="s">
        <v>194</v>
      </c>
      <c r="D167" t="s">
        <v>1994</v>
      </c>
      <c r="E167" t="s">
        <v>1995</v>
      </c>
    </row>
    <row r="168" spans="1:5" x14ac:dyDescent="0.25">
      <c r="A168" t="s">
        <v>799</v>
      </c>
      <c r="B168">
        <v>18</v>
      </c>
      <c r="C168" t="s">
        <v>204</v>
      </c>
      <c r="D168" t="s">
        <v>1996</v>
      </c>
      <c r="E168" t="s">
        <v>1997</v>
      </c>
    </row>
    <row r="169" spans="1:5" x14ac:dyDescent="0.25">
      <c r="A169" t="s">
        <v>852</v>
      </c>
      <c r="B169">
        <v>18</v>
      </c>
      <c r="C169" t="s">
        <v>176</v>
      </c>
      <c r="D169" t="s">
        <v>1998</v>
      </c>
      <c r="E169" t="s">
        <v>1999</v>
      </c>
    </row>
    <row r="170" spans="1:5" x14ac:dyDescent="0.25">
      <c r="A170" t="s">
        <v>822</v>
      </c>
      <c r="B170">
        <v>18</v>
      </c>
      <c r="C170" t="s">
        <v>198</v>
      </c>
      <c r="D170" t="s">
        <v>2000</v>
      </c>
      <c r="E170" t="s">
        <v>2001</v>
      </c>
    </row>
    <row r="171" spans="1:5" x14ac:dyDescent="0.25">
      <c r="A171" t="s">
        <v>1051</v>
      </c>
      <c r="B171">
        <v>18</v>
      </c>
      <c r="C171" t="s">
        <v>198</v>
      </c>
      <c r="D171" t="s">
        <v>2002</v>
      </c>
      <c r="E171" t="s">
        <v>2003</v>
      </c>
    </row>
    <row r="172" spans="1:5" x14ac:dyDescent="0.25">
      <c r="A172" t="s">
        <v>999</v>
      </c>
      <c r="B172">
        <v>18</v>
      </c>
      <c r="C172" t="s">
        <v>1743</v>
      </c>
      <c r="D172" t="s">
        <v>2004</v>
      </c>
      <c r="E172" t="s">
        <v>2005</v>
      </c>
    </row>
    <row r="173" spans="1:5" x14ac:dyDescent="0.25">
      <c r="A173" t="s">
        <v>1225</v>
      </c>
      <c r="B173">
        <v>18</v>
      </c>
      <c r="C173" t="s">
        <v>176</v>
      </c>
      <c r="D173" t="s">
        <v>2006</v>
      </c>
      <c r="E173" t="s">
        <v>2007</v>
      </c>
    </row>
    <row r="174" spans="1:5" x14ac:dyDescent="0.25">
      <c r="A174" t="s">
        <v>1357</v>
      </c>
      <c r="B174">
        <v>18</v>
      </c>
      <c r="C174" t="s">
        <v>176</v>
      </c>
      <c r="D174" t="s">
        <v>2008</v>
      </c>
      <c r="E174" t="s">
        <v>2009</v>
      </c>
    </row>
    <row r="175" spans="1:5" x14ac:dyDescent="0.25">
      <c r="A175" t="s">
        <v>760</v>
      </c>
      <c r="B175">
        <v>17</v>
      </c>
      <c r="C175" t="s">
        <v>189</v>
      </c>
      <c r="D175" t="s">
        <v>2010</v>
      </c>
      <c r="E175" t="s">
        <v>2011</v>
      </c>
    </row>
    <row r="176" spans="1:5" x14ac:dyDescent="0.25">
      <c r="A176" t="s">
        <v>544</v>
      </c>
      <c r="B176">
        <v>17</v>
      </c>
      <c r="C176" t="s">
        <v>198</v>
      </c>
      <c r="D176" t="s">
        <v>2012</v>
      </c>
      <c r="E176" t="s">
        <v>2013</v>
      </c>
    </row>
    <row r="177" spans="1:5" x14ac:dyDescent="0.25">
      <c r="A177" t="s">
        <v>594</v>
      </c>
      <c r="B177">
        <v>17</v>
      </c>
      <c r="C177" t="s">
        <v>186</v>
      </c>
      <c r="D177" t="s">
        <v>2014</v>
      </c>
      <c r="E177" t="s">
        <v>2015</v>
      </c>
    </row>
    <row r="178" spans="1:5" x14ac:dyDescent="0.25">
      <c r="A178" t="s">
        <v>680</v>
      </c>
      <c r="B178">
        <v>17</v>
      </c>
      <c r="C178" t="s">
        <v>221</v>
      </c>
      <c r="D178" t="s">
        <v>2016</v>
      </c>
      <c r="E178" t="s">
        <v>2017</v>
      </c>
    </row>
    <row r="179" spans="1:5" x14ac:dyDescent="0.25">
      <c r="A179" t="s">
        <v>541</v>
      </c>
      <c r="B179">
        <v>17</v>
      </c>
      <c r="C179" t="s">
        <v>176</v>
      </c>
      <c r="D179" t="s">
        <v>2018</v>
      </c>
      <c r="E179" t="s">
        <v>2019</v>
      </c>
    </row>
    <row r="180" spans="1:5" x14ac:dyDescent="0.25">
      <c r="A180" t="s">
        <v>1032</v>
      </c>
      <c r="B180">
        <v>17</v>
      </c>
      <c r="C180" t="s">
        <v>1743</v>
      </c>
      <c r="D180" t="s">
        <v>2020</v>
      </c>
      <c r="E180" t="s">
        <v>2021</v>
      </c>
    </row>
    <row r="181" spans="1:5" x14ac:dyDescent="0.25">
      <c r="A181" t="s">
        <v>796</v>
      </c>
      <c r="B181">
        <v>17</v>
      </c>
      <c r="C181" t="s">
        <v>1743</v>
      </c>
      <c r="D181" t="s">
        <v>2022</v>
      </c>
      <c r="E181" t="s">
        <v>2023</v>
      </c>
    </row>
    <row r="182" spans="1:5" x14ac:dyDescent="0.25">
      <c r="A182" t="s">
        <v>1154</v>
      </c>
      <c r="B182">
        <v>17</v>
      </c>
      <c r="C182" t="s">
        <v>176</v>
      </c>
      <c r="D182" t="s">
        <v>2024</v>
      </c>
      <c r="E182" t="s">
        <v>2025</v>
      </c>
    </row>
    <row r="183" spans="1:5" x14ac:dyDescent="0.25">
      <c r="A183" t="s">
        <v>1219</v>
      </c>
      <c r="B183">
        <v>17</v>
      </c>
      <c r="C183" t="s">
        <v>1732</v>
      </c>
      <c r="D183" t="s">
        <v>2026</v>
      </c>
      <c r="E183" t="s">
        <v>2027</v>
      </c>
    </row>
    <row r="184" spans="1:5" x14ac:dyDescent="0.25">
      <c r="A184" t="s">
        <v>1368</v>
      </c>
      <c r="B184">
        <v>17</v>
      </c>
      <c r="C184" t="s">
        <v>1743</v>
      </c>
      <c r="D184" t="s">
        <v>2028</v>
      </c>
      <c r="E184" t="s">
        <v>2029</v>
      </c>
    </row>
    <row r="185" spans="1:5" x14ac:dyDescent="0.25">
      <c r="A185" t="s">
        <v>1321</v>
      </c>
      <c r="B185">
        <v>17</v>
      </c>
      <c r="C185" t="s">
        <v>221</v>
      </c>
      <c r="D185" t="s">
        <v>2030</v>
      </c>
      <c r="E185" t="s">
        <v>2031</v>
      </c>
    </row>
    <row r="186" spans="1:5" x14ac:dyDescent="0.25">
      <c r="A186" t="s">
        <v>775</v>
      </c>
      <c r="B186">
        <v>16</v>
      </c>
      <c r="C186" t="s">
        <v>221</v>
      </c>
      <c r="D186" t="s">
        <v>2032</v>
      </c>
      <c r="E186" t="s">
        <v>2033</v>
      </c>
    </row>
    <row r="187" spans="1:5" x14ac:dyDescent="0.25">
      <c r="A187" t="s">
        <v>612</v>
      </c>
      <c r="B187">
        <v>16</v>
      </c>
      <c r="C187" t="s">
        <v>1701</v>
      </c>
      <c r="D187" t="s">
        <v>2034</v>
      </c>
      <c r="E187" t="s">
        <v>2035</v>
      </c>
    </row>
    <row r="188" spans="1:5" x14ac:dyDescent="0.25">
      <c r="A188" t="s">
        <v>1029</v>
      </c>
      <c r="B188">
        <v>16</v>
      </c>
      <c r="C188" t="s">
        <v>181</v>
      </c>
      <c r="D188" t="s">
        <v>2036</v>
      </c>
      <c r="E188" t="s">
        <v>2037</v>
      </c>
    </row>
    <row r="189" spans="1:5" x14ac:dyDescent="0.25">
      <c r="A189" t="s">
        <v>677</v>
      </c>
      <c r="B189">
        <v>16</v>
      </c>
      <c r="C189" t="s">
        <v>189</v>
      </c>
      <c r="D189" t="s">
        <v>2038</v>
      </c>
      <c r="E189" t="s">
        <v>2039</v>
      </c>
    </row>
    <row r="190" spans="1:5" x14ac:dyDescent="0.25">
      <c r="A190" t="s">
        <v>725</v>
      </c>
      <c r="B190">
        <v>16</v>
      </c>
      <c r="C190" t="s">
        <v>176</v>
      </c>
      <c r="D190" t="s">
        <v>2040</v>
      </c>
      <c r="E190" t="s">
        <v>2041</v>
      </c>
    </row>
    <row r="191" spans="1:5" x14ac:dyDescent="0.25">
      <c r="A191" t="s">
        <v>996</v>
      </c>
      <c r="B191">
        <v>16</v>
      </c>
      <c r="C191" t="s">
        <v>194</v>
      </c>
      <c r="D191" t="s">
        <v>2042</v>
      </c>
      <c r="E191" t="s">
        <v>2043</v>
      </c>
    </row>
    <row r="192" spans="1:5" x14ac:dyDescent="0.25">
      <c r="A192" t="s">
        <v>971</v>
      </c>
      <c r="B192">
        <v>16</v>
      </c>
      <c r="C192" t="s">
        <v>194</v>
      </c>
      <c r="D192" t="s">
        <v>2044</v>
      </c>
      <c r="E192" t="s">
        <v>2045</v>
      </c>
    </row>
    <row r="193" spans="1:5" x14ac:dyDescent="0.25">
      <c r="A193" t="s">
        <v>1211</v>
      </c>
      <c r="B193">
        <v>16</v>
      </c>
      <c r="C193" t="s">
        <v>189</v>
      </c>
      <c r="D193" t="s">
        <v>2046</v>
      </c>
      <c r="E193" t="s">
        <v>2047</v>
      </c>
    </row>
    <row r="194" spans="1:5" x14ac:dyDescent="0.25">
      <c r="A194" t="s">
        <v>1142</v>
      </c>
      <c r="B194">
        <v>16</v>
      </c>
      <c r="C194" t="s">
        <v>1656</v>
      </c>
      <c r="D194" t="s">
        <v>2048</v>
      </c>
      <c r="E194" t="s">
        <v>2049</v>
      </c>
    </row>
    <row r="195" spans="1:5" x14ac:dyDescent="0.25">
      <c r="A195" t="s">
        <v>1193</v>
      </c>
      <c r="B195">
        <v>16</v>
      </c>
      <c r="C195" t="s">
        <v>1732</v>
      </c>
      <c r="D195" t="s">
        <v>2050</v>
      </c>
      <c r="E195" t="s">
        <v>2051</v>
      </c>
    </row>
    <row r="196" spans="1:5" x14ac:dyDescent="0.25">
      <c r="A196" t="s">
        <v>1169</v>
      </c>
      <c r="B196">
        <v>16</v>
      </c>
      <c r="C196" t="s">
        <v>202</v>
      </c>
      <c r="D196" t="s">
        <v>2052</v>
      </c>
      <c r="E196" t="s">
        <v>2053</v>
      </c>
    </row>
    <row r="197" spans="1:5" x14ac:dyDescent="0.25">
      <c r="A197" t="s">
        <v>1309</v>
      </c>
      <c r="B197">
        <v>16</v>
      </c>
      <c r="C197" t="s">
        <v>202</v>
      </c>
      <c r="D197" t="s">
        <v>2054</v>
      </c>
      <c r="E197" t="s">
        <v>2055</v>
      </c>
    </row>
    <row r="198" spans="1:5" x14ac:dyDescent="0.25">
      <c r="A198" t="s">
        <v>448</v>
      </c>
      <c r="B198">
        <v>15</v>
      </c>
      <c r="C198" t="s">
        <v>176</v>
      </c>
      <c r="D198" t="s">
        <v>2056</v>
      </c>
      <c r="E198" t="s">
        <v>2057</v>
      </c>
    </row>
    <row r="199" spans="1:5" x14ac:dyDescent="0.25">
      <c r="A199" t="s">
        <v>392</v>
      </c>
      <c r="B199">
        <v>15</v>
      </c>
      <c r="C199" t="s">
        <v>202</v>
      </c>
      <c r="D199" t="s">
        <v>2058</v>
      </c>
      <c r="E199" t="s">
        <v>2059</v>
      </c>
    </row>
    <row r="200" spans="1:5" x14ac:dyDescent="0.25">
      <c r="A200" t="s">
        <v>757</v>
      </c>
      <c r="B200">
        <v>15</v>
      </c>
      <c r="C200" t="s">
        <v>198</v>
      </c>
      <c r="D200" t="s">
        <v>2060</v>
      </c>
      <c r="E200" t="s">
        <v>2061</v>
      </c>
    </row>
    <row r="201" spans="1:5" x14ac:dyDescent="0.25">
      <c r="A201" t="s">
        <v>891</v>
      </c>
      <c r="B201">
        <v>15</v>
      </c>
      <c r="C201" t="s">
        <v>1732</v>
      </c>
      <c r="D201" t="s">
        <v>2062</v>
      </c>
      <c r="E201" t="s">
        <v>2063</v>
      </c>
    </row>
    <row r="202" spans="1:5" x14ac:dyDescent="0.25">
      <c r="A202" t="s">
        <v>993</v>
      </c>
      <c r="B202">
        <v>15</v>
      </c>
      <c r="C202" t="s">
        <v>198</v>
      </c>
      <c r="D202" t="s">
        <v>2064</v>
      </c>
      <c r="E202" t="s">
        <v>2065</v>
      </c>
    </row>
    <row r="203" spans="1:5" x14ac:dyDescent="0.25">
      <c r="A203" t="s">
        <v>558</v>
      </c>
      <c r="B203">
        <v>15</v>
      </c>
      <c r="C203" t="s">
        <v>189</v>
      </c>
      <c r="D203" t="s">
        <v>2066</v>
      </c>
      <c r="E203" t="s">
        <v>2067</v>
      </c>
    </row>
    <row r="204" spans="1:5" x14ac:dyDescent="0.25">
      <c r="A204" t="s">
        <v>778</v>
      </c>
      <c r="B204">
        <v>15</v>
      </c>
      <c r="C204" t="s">
        <v>1743</v>
      </c>
      <c r="D204" t="s">
        <v>2068</v>
      </c>
      <c r="E204" t="s">
        <v>2069</v>
      </c>
    </row>
    <row r="205" spans="1:5" x14ac:dyDescent="0.25">
      <c r="A205" t="s">
        <v>953</v>
      </c>
      <c r="B205">
        <v>15</v>
      </c>
      <c r="C205" t="s">
        <v>181</v>
      </c>
      <c r="D205" t="s">
        <v>2070</v>
      </c>
      <c r="E205" t="s">
        <v>2071</v>
      </c>
    </row>
    <row r="206" spans="1:5" x14ac:dyDescent="0.25">
      <c r="A206" t="s">
        <v>897</v>
      </c>
      <c r="B206">
        <v>15</v>
      </c>
      <c r="C206" t="s">
        <v>1732</v>
      </c>
      <c r="D206" t="s">
        <v>2072</v>
      </c>
      <c r="E206" t="s">
        <v>2073</v>
      </c>
    </row>
    <row r="207" spans="1:5" x14ac:dyDescent="0.25">
      <c r="A207" t="s">
        <v>861</v>
      </c>
      <c r="B207">
        <v>15</v>
      </c>
      <c r="C207" t="s">
        <v>189</v>
      </c>
      <c r="D207" t="s">
        <v>2074</v>
      </c>
      <c r="E207" t="s">
        <v>2075</v>
      </c>
    </row>
    <row r="208" spans="1:5" x14ac:dyDescent="0.25">
      <c r="A208" t="s">
        <v>1196</v>
      </c>
      <c r="B208">
        <v>15</v>
      </c>
      <c r="C208" t="s">
        <v>204</v>
      </c>
      <c r="D208" t="s">
        <v>2076</v>
      </c>
      <c r="E208" t="s">
        <v>2077</v>
      </c>
    </row>
    <row r="209" spans="1:5" x14ac:dyDescent="0.25">
      <c r="A209" t="s">
        <v>1163</v>
      </c>
      <c r="B209">
        <v>15</v>
      </c>
      <c r="C209" t="s">
        <v>186</v>
      </c>
      <c r="D209" t="s">
        <v>2078</v>
      </c>
      <c r="E209" t="s">
        <v>2079</v>
      </c>
    </row>
    <row r="210" spans="1:5" x14ac:dyDescent="0.25">
      <c r="A210" t="s">
        <v>1011</v>
      </c>
      <c r="B210">
        <v>15</v>
      </c>
      <c r="C210" t="s">
        <v>176</v>
      </c>
      <c r="D210" t="s">
        <v>2080</v>
      </c>
      <c r="E210" t="s">
        <v>2081</v>
      </c>
    </row>
    <row r="211" spans="1:5" x14ac:dyDescent="0.25">
      <c r="A211" t="s">
        <v>389</v>
      </c>
      <c r="B211">
        <v>14</v>
      </c>
      <c r="C211" t="s">
        <v>194</v>
      </c>
      <c r="D211" t="s">
        <v>2082</v>
      </c>
      <c r="E211" t="s">
        <v>2083</v>
      </c>
    </row>
    <row r="212" spans="1:5" x14ac:dyDescent="0.25">
      <c r="A212" t="s">
        <v>377</v>
      </c>
      <c r="B212">
        <v>14</v>
      </c>
      <c r="C212" t="s">
        <v>1743</v>
      </c>
      <c r="D212" t="s">
        <v>2084</v>
      </c>
      <c r="E212" t="s">
        <v>2085</v>
      </c>
    </row>
    <row r="213" spans="1:5" x14ac:dyDescent="0.25">
      <c r="A213" t="s">
        <v>627</v>
      </c>
      <c r="B213">
        <v>14</v>
      </c>
      <c r="C213" t="s">
        <v>198</v>
      </c>
      <c r="D213" t="s">
        <v>2086</v>
      </c>
      <c r="E213" t="s">
        <v>2087</v>
      </c>
    </row>
    <row r="214" spans="1:5" x14ac:dyDescent="0.25">
      <c r="A214" t="s">
        <v>520</v>
      </c>
      <c r="B214">
        <v>14</v>
      </c>
      <c r="C214" t="s">
        <v>221</v>
      </c>
      <c r="D214" t="s">
        <v>2088</v>
      </c>
      <c r="E214" t="s">
        <v>2089</v>
      </c>
    </row>
    <row r="215" spans="1:5" x14ac:dyDescent="0.25">
      <c r="A215" t="s">
        <v>561</v>
      </c>
      <c r="B215">
        <v>14</v>
      </c>
      <c r="C215" t="s">
        <v>176</v>
      </c>
      <c r="D215" t="s">
        <v>2090</v>
      </c>
      <c r="E215" t="s">
        <v>2091</v>
      </c>
    </row>
    <row r="216" spans="1:5" x14ac:dyDescent="0.25">
      <c r="A216" t="s">
        <v>707</v>
      </c>
      <c r="B216">
        <v>14</v>
      </c>
      <c r="C216" t="s">
        <v>198</v>
      </c>
      <c r="D216" t="s">
        <v>2092</v>
      </c>
      <c r="E216" t="s">
        <v>2093</v>
      </c>
    </row>
    <row r="217" spans="1:5" x14ac:dyDescent="0.25">
      <c r="A217" t="s">
        <v>959</v>
      </c>
      <c r="B217">
        <v>14</v>
      </c>
      <c r="C217" t="s">
        <v>194</v>
      </c>
      <c r="D217" t="s">
        <v>2094</v>
      </c>
      <c r="E217" t="s">
        <v>2095</v>
      </c>
    </row>
    <row r="218" spans="1:5" x14ac:dyDescent="0.25">
      <c r="A218" t="s">
        <v>950</v>
      </c>
      <c r="B218">
        <v>14</v>
      </c>
      <c r="C218" t="s">
        <v>202</v>
      </c>
      <c r="D218" t="s">
        <v>2096</v>
      </c>
      <c r="E218" t="s">
        <v>2097</v>
      </c>
    </row>
    <row r="219" spans="1:5" x14ac:dyDescent="0.25">
      <c r="A219" t="s">
        <v>1392</v>
      </c>
      <c r="B219">
        <v>14</v>
      </c>
      <c r="C219" t="s">
        <v>176</v>
      </c>
      <c r="D219" t="s">
        <v>2098</v>
      </c>
      <c r="E219" t="s">
        <v>2099</v>
      </c>
    </row>
    <row r="220" spans="1:5" x14ac:dyDescent="0.25">
      <c r="A220" t="s">
        <v>2100</v>
      </c>
      <c r="B220">
        <v>14</v>
      </c>
      <c r="C220" t="s">
        <v>1701</v>
      </c>
      <c r="D220" t="s">
        <v>2101</v>
      </c>
      <c r="E220" t="s">
        <v>2102</v>
      </c>
    </row>
    <row r="221" spans="1:5" x14ac:dyDescent="0.25">
      <c r="A221" t="s">
        <v>2103</v>
      </c>
      <c r="B221">
        <v>14</v>
      </c>
      <c r="C221" t="s">
        <v>1743</v>
      </c>
      <c r="D221" t="s">
        <v>2104</v>
      </c>
      <c r="E221" t="s">
        <v>2105</v>
      </c>
    </row>
    <row r="222" spans="1:5" x14ac:dyDescent="0.25">
      <c r="A222" t="s">
        <v>1500</v>
      </c>
      <c r="B222">
        <v>14</v>
      </c>
      <c r="C222" t="s">
        <v>176</v>
      </c>
      <c r="D222" t="s">
        <v>2106</v>
      </c>
      <c r="E222" t="s">
        <v>2107</v>
      </c>
    </row>
    <row r="223" spans="1:5" x14ac:dyDescent="0.25">
      <c r="A223" t="s">
        <v>1421</v>
      </c>
      <c r="B223">
        <v>14</v>
      </c>
      <c r="C223" t="s">
        <v>1732</v>
      </c>
      <c r="D223" t="s">
        <v>2108</v>
      </c>
      <c r="E223" t="s">
        <v>2109</v>
      </c>
    </row>
    <row r="224" spans="1:5" x14ac:dyDescent="0.25">
      <c r="A224" t="s">
        <v>1048</v>
      </c>
      <c r="B224">
        <v>14</v>
      </c>
      <c r="C224" t="s">
        <v>202</v>
      </c>
      <c r="D224" t="s">
        <v>2110</v>
      </c>
      <c r="E224" t="s">
        <v>2111</v>
      </c>
    </row>
    <row r="225" spans="1:5" x14ac:dyDescent="0.25">
      <c r="A225" t="s">
        <v>1354</v>
      </c>
      <c r="B225">
        <v>14</v>
      </c>
      <c r="C225" t="s">
        <v>176</v>
      </c>
      <c r="D225" t="s">
        <v>2112</v>
      </c>
      <c r="E225" t="s">
        <v>2113</v>
      </c>
    </row>
    <row r="226" spans="1:5" x14ac:dyDescent="0.25">
      <c r="A226" t="s">
        <v>2114</v>
      </c>
      <c r="B226">
        <v>13</v>
      </c>
      <c r="C226" t="s">
        <v>202</v>
      </c>
      <c r="D226" t="s">
        <v>2115</v>
      </c>
      <c r="E226" t="s">
        <v>2116</v>
      </c>
    </row>
    <row r="227" spans="1:5" x14ac:dyDescent="0.25">
      <c r="A227" t="s">
        <v>564</v>
      </c>
      <c r="B227">
        <v>13</v>
      </c>
      <c r="C227" t="s">
        <v>198</v>
      </c>
      <c r="D227" t="s">
        <v>2117</v>
      </c>
      <c r="E227" t="s">
        <v>2118</v>
      </c>
    </row>
    <row r="228" spans="1:5" x14ac:dyDescent="0.25">
      <c r="A228" t="s">
        <v>748</v>
      </c>
      <c r="B228">
        <v>13</v>
      </c>
      <c r="C228" t="s">
        <v>1743</v>
      </c>
      <c r="D228" t="s">
        <v>2119</v>
      </c>
      <c r="E228" t="s">
        <v>2120</v>
      </c>
    </row>
    <row r="229" spans="1:5" x14ac:dyDescent="0.25">
      <c r="A229" t="s">
        <v>754</v>
      </c>
      <c r="B229">
        <v>13</v>
      </c>
      <c r="C229" t="s">
        <v>176</v>
      </c>
      <c r="D229" t="s">
        <v>2121</v>
      </c>
      <c r="E229" t="s">
        <v>2122</v>
      </c>
    </row>
    <row r="230" spans="1:5" x14ac:dyDescent="0.25">
      <c r="A230" t="s">
        <v>882</v>
      </c>
      <c r="B230">
        <v>13</v>
      </c>
      <c r="C230" t="s">
        <v>176</v>
      </c>
      <c r="D230" t="s">
        <v>2123</v>
      </c>
      <c r="E230" t="s">
        <v>2124</v>
      </c>
    </row>
    <row r="231" spans="1:5" x14ac:dyDescent="0.25">
      <c r="A231" t="s">
        <v>962</v>
      </c>
      <c r="B231">
        <v>13</v>
      </c>
      <c r="C231" t="s">
        <v>198</v>
      </c>
      <c r="D231" t="s">
        <v>2125</v>
      </c>
      <c r="E231" t="s">
        <v>2126</v>
      </c>
    </row>
    <row r="232" spans="1:5" x14ac:dyDescent="0.25">
      <c r="A232" t="s">
        <v>1075</v>
      </c>
      <c r="B232">
        <v>13</v>
      </c>
      <c r="C232" t="s">
        <v>198</v>
      </c>
      <c r="D232" t="s">
        <v>2127</v>
      </c>
      <c r="E232" t="s">
        <v>2128</v>
      </c>
    </row>
    <row r="233" spans="1:5" x14ac:dyDescent="0.25">
      <c r="A233" t="s">
        <v>719</v>
      </c>
      <c r="B233">
        <v>13</v>
      </c>
      <c r="C233" t="s">
        <v>189</v>
      </c>
      <c r="D233" t="s">
        <v>2129</v>
      </c>
      <c r="E233" t="s">
        <v>2130</v>
      </c>
    </row>
    <row r="234" spans="1:5" x14ac:dyDescent="0.25">
      <c r="A234" t="s">
        <v>511</v>
      </c>
      <c r="B234">
        <v>13</v>
      </c>
      <c r="C234" t="s">
        <v>194</v>
      </c>
      <c r="D234" t="s">
        <v>2131</v>
      </c>
      <c r="E234" t="s">
        <v>2132</v>
      </c>
    </row>
    <row r="235" spans="1:5" x14ac:dyDescent="0.25">
      <c r="A235" t="s">
        <v>1157</v>
      </c>
      <c r="B235">
        <v>13</v>
      </c>
      <c r="C235" t="s">
        <v>194</v>
      </c>
      <c r="D235" t="s">
        <v>2133</v>
      </c>
      <c r="E235" t="s">
        <v>2134</v>
      </c>
    </row>
    <row r="236" spans="1:5" x14ac:dyDescent="0.25">
      <c r="A236" t="s">
        <v>1124</v>
      </c>
      <c r="B236">
        <v>13</v>
      </c>
      <c r="C236" t="s">
        <v>194</v>
      </c>
      <c r="D236" t="s">
        <v>2135</v>
      </c>
      <c r="E236" t="s">
        <v>2136</v>
      </c>
    </row>
    <row r="237" spans="1:5" x14ac:dyDescent="0.25">
      <c r="A237" t="s">
        <v>1243</v>
      </c>
      <c r="B237">
        <v>13</v>
      </c>
      <c r="C237" t="s">
        <v>176</v>
      </c>
      <c r="D237" t="s">
        <v>2137</v>
      </c>
      <c r="E237" t="s">
        <v>2138</v>
      </c>
    </row>
    <row r="238" spans="1:5" x14ac:dyDescent="0.25">
      <c r="A238" t="s">
        <v>302</v>
      </c>
      <c r="B238">
        <v>12</v>
      </c>
      <c r="C238" t="s">
        <v>198</v>
      </c>
      <c r="D238" t="s">
        <v>2139</v>
      </c>
      <c r="E238" t="s">
        <v>2140</v>
      </c>
    </row>
    <row r="239" spans="1:5" x14ac:dyDescent="0.25">
      <c r="A239" t="s">
        <v>662</v>
      </c>
      <c r="B239">
        <v>12</v>
      </c>
      <c r="C239" t="s">
        <v>202</v>
      </c>
      <c r="D239" t="s">
        <v>2141</v>
      </c>
      <c r="E239" t="s">
        <v>2142</v>
      </c>
    </row>
    <row r="240" spans="1:5" x14ac:dyDescent="0.25">
      <c r="A240" t="s">
        <v>846</v>
      </c>
      <c r="B240">
        <v>12</v>
      </c>
      <c r="C240" t="s">
        <v>189</v>
      </c>
      <c r="D240" t="s">
        <v>2143</v>
      </c>
      <c r="E240" t="s">
        <v>2144</v>
      </c>
    </row>
    <row r="241" spans="1:5" x14ac:dyDescent="0.25">
      <c r="A241" t="s">
        <v>745</v>
      </c>
      <c r="B241">
        <v>12</v>
      </c>
      <c r="C241" t="s">
        <v>189</v>
      </c>
      <c r="D241" t="s">
        <v>2145</v>
      </c>
      <c r="E241" t="s">
        <v>2146</v>
      </c>
    </row>
    <row r="242" spans="1:5" x14ac:dyDescent="0.25">
      <c r="A242" t="s">
        <v>982</v>
      </c>
      <c r="B242">
        <v>12</v>
      </c>
      <c r="C242" t="s">
        <v>1743</v>
      </c>
      <c r="D242" t="s">
        <v>2147</v>
      </c>
      <c r="E242" t="s">
        <v>2148</v>
      </c>
    </row>
    <row r="243" spans="1:5" x14ac:dyDescent="0.25">
      <c r="A243" t="s">
        <v>1130</v>
      </c>
      <c r="B243">
        <v>12</v>
      </c>
      <c r="C243" t="s">
        <v>1743</v>
      </c>
      <c r="D243" t="s">
        <v>2149</v>
      </c>
      <c r="E243" t="s">
        <v>2150</v>
      </c>
    </row>
    <row r="244" spans="1:5" x14ac:dyDescent="0.25">
      <c r="A244" t="s">
        <v>1094</v>
      </c>
      <c r="B244">
        <v>12</v>
      </c>
      <c r="C244" t="s">
        <v>176</v>
      </c>
      <c r="D244" t="s">
        <v>2151</v>
      </c>
      <c r="E244" t="s">
        <v>2152</v>
      </c>
    </row>
    <row r="245" spans="1:5" x14ac:dyDescent="0.25">
      <c r="A245" t="s">
        <v>1079</v>
      </c>
      <c r="B245">
        <v>12</v>
      </c>
      <c r="C245" t="s">
        <v>1732</v>
      </c>
      <c r="D245" t="s">
        <v>2153</v>
      </c>
      <c r="E245" t="s">
        <v>2154</v>
      </c>
    </row>
    <row r="246" spans="1:5" x14ac:dyDescent="0.25">
      <c r="A246" t="s">
        <v>1468</v>
      </c>
      <c r="B246">
        <v>12</v>
      </c>
      <c r="C246" t="s">
        <v>1743</v>
      </c>
      <c r="D246" t="s">
        <v>2155</v>
      </c>
      <c r="E246" t="s">
        <v>2156</v>
      </c>
    </row>
    <row r="247" spans="1:5" x14ac:dyDescent="0.25">
      <c r="A247" t="s">
        <v>1228</v>
      </c>
      <c r="B247">
        <v>12</v>
      </c>
      <c r="C247" t="s">
        <v>194</v>
      </c>
      <c r="D247" t="s">
        <v>2157</v>
      </c>
      <c r="E247" t="s">
        <v>2158</v>
      </c>
    </row>
    <row r="248" spans="1:5" x14ac:dyDescent="0.25">
      <c r="A248" t="s">
        <v>1360</v>
      </c>
      <c r="B248">
        <v>12</v>
      </c>
      <c r="C248" t="s">
        <v>176</v>
      </c>
      <c r="D248" t="s">
        <v>2159</v>
      </c>
      <c r="E248" t="s">
        <v>2160</v>
      </c>
    </row>
    <row r="249" spans="1:5" x14ac:dyDescent="0.25">
      <c r="A249" t="s">
        <v>331</v>
      </c>
      <c r="B249">
        <v>11</v>
      </c>
      <c r="C249" t="s">
        <v>198</v>
      </c>
      <c r="D249" t="s">
        <v>2161</v>
      </c>
      <c r="E249" t="s">
        <v>2162</v>
      </c>
    </row>
    <row r="250" spans="1:5" x14ac:dyDescent="0.25">
      <c r="A250" t="s">
        <v>500</v>
      </c>
      <c r="B250">
        <v>11</v>
      </c>
      <c r="C250" t="s">
        <v>176</v>
      </c>
      <c r="D250" t="s">
        <v>2163</v>
      </c>
      <c r="E250" t="s">
        <v>2164</v>
      </c>
    </row>
    <row r="251" spans="1:5" x14ac:dyDescent="0.25">
      <c r="A251" t="s">
        <v>486</v>
      </c>
      <c r="B251">
        <v>11</v>
      </c>
      <c r="C251" t="s">
        <v>198</v>
      </c>
      <c r="D251" t="s">
        <v>2165</v>
      </c>
      <c r="E251" t="s">
        <v>2166</v>
      </c>
    </row>
    <row r="252" spans="1:5" x14ac:dyDescent="0.25">
      <c r="A252" t="s">
        <v>579</v>
      </c>
      <c r="B252">
        <v>11</v>
      </c>
      <c r="C252" t="s">
        <v>189</v>
      </c>
      <c r="D252" t="s">
        <v>2167</v>
      </c>
      <c r="E252" t="s">
        <v>2168</v>
      </c>
    </row>
    <row r="253" spans="1:5" x14ac:dyDescent="0.25">
      <c r="A253" t="s">
        <v>606</v>
      </c>
      <c r="B253">
        <v>11</v>
      </c>
      <c r="C253" t="s">
        <v>198</v>
      </c>
      <c r="D253" t="s">
        <v>2169</v>
      </c>
      <c r="E253" t="s">
        <v>2170</v>
      </c>
    </row>
    <row r="254" spans="1:5" x14ac:dyDescent="0.25">
      <c r="A254" t="s">
        <v>839</v>
      </c>
      <c r="B254">
        <v>11</v>
      </c>
      <c r="C254" t="s">
        <v>221</v>
      </c>
      <c r="D254" t="s">
        <v>2171</v>
      </c>
      <c r="E254" t="s">
        <v>2172</v>
      </c>
    </row>
    <row r="255" spans="1:5" x14ac:dyDescent="0.25">
      <c r="A255" t="s">
        <v>588</v>
      </c>
      <c r="B255">
        <v>11</v>
      </c>
      <c r="C255" t="s">
        <v>176</v>
      </c>
      <c r="D255" t="s">
        <v>2173</v>
      </c>
      <c r="E255" t="s">
        <v>2174</v>
      </c>
    </row>
    <row r="256" spans="1:5" x14ac:dyDescent="0.25">
      <c r="A256" t="s">
        <v>683</v>
      </c>
      <c r="B256">
        <v>11</v>
      </c>
      <c r="C256" t="s">
        <v>186</v>
      </c>
      <c r="D256" t="s">
        <v>2175</v>
      </c>
      <c r="E256" t="s">
        <v>2176</v>
      </c>
    </row>
    <row r="257" spans="1:5" x14ac:dyDescent="0.25">
      <c r="A257" t="s">
        <v>873</v>
      </c>
      <c r="B257">
        <v>11</v>
      </c>
      <c r="C257" t="s">
        <v>189</v>
      </c>
      <c r="D257" t="s">
        <v>2177</v>
      </c>
      <c r="E257" t="s">
        <v>2178</v>
      </c>
    </row>
    <row r="258" spans="1:5" x14ac:dyDescent="0.25">
      <c r="A258" t="s">
        <v>769</v>
      </c>
      <c r="B258">
        <v>11</v>
      </c>
      <c r="C258" t="s">
        <v>1743</v>
      </c>
      <c r="D258" t="s">
        <v>2179</v>
      </c>
      <c r="E258" t="s">
        <v>2180</v>
      </c>
    </row>
    <row r="259" spans="1:5" x14ac:dyDescent="0.25">
      <c r="A259" t="s">
        <v>1435</v>
      </c>
      <c r="B259">
        <v>11</v>
      </c>
      <c r="C259" t="s">
        <v>176</v>
      </c>
      <c r="D259" t="s">
        <v>2181</v>
      </c>
      <c r="E259" t="s">
        <v>2182</v>
      </c>
    </row>
    <row r="260" spans="1:5" x14ac:dyDescent="0.25">
      <c r="A260" t="s">
        <v>1085</v>
      </c>
      <c r="B260">
        <v>11</v>
      </c>
      <c r="C260" t="s">
        <v>198</v>
      </c>
      <c r="D260" t="s">
        <v>2183</v>
      </c>
      <c r="E260" t="s">
        <v>2184</v>
      </c>
    </row>
    <row r="261" spans="1:5" x14ac:dyDescent="0.25">
      <c r="A261" t="s">
        <v>1187</v>
      </c>
      <c r="B261">
        <v>11</v>
      </c>
      <c r="C261" t="s">
        <v>1732</v>
      </c>
      <c r="D261" t="s">
        <v>2185</v>
      </c>
      <c r="E261" t="s">
        <v>2186</v>
      </c>
    </row>
    <row r="262" spans="1:5" x14ac:dyDescent="0.25">
      <c r="A262" t="s">
        <v>1340</v>
      </c>
      <c r="B262">
        <v>11</v>
      </c>
      <c r="C262" t="s">
        <v>198</v>
      </c>
      <c r="D262" t="s">
        <v>2187</v>
      </c>
      <c r="E262" t="s">
        <v>2188</v>
      </c>
    </row>
    <row r="263" spans="1:5" x14ac:dyDescent="0.25">
      <c r="A263" t="s">
        <v>2189</v>
      </c>
      <c r="B263">
        <v>10</v>
      </c>
      <c r="C263" t="s">
        <v>198</v>
      </c>
      <c r="D263" t="s">
        <v>2190</v>
      </c>
      <c r="E263" t="s">
        <v>2191</v>
      </c>
    </row>
    <row r="264" spans="1:5" x14ac:dyDescent="0.25">
      <c r="A264" t="s">
        <v>2192</v>
      </c>
      <c r="B264">
        <v>10</v>
      </c>
      <c r="C264" t="s">
        <v>221</v>
      </c>
      <c r="D264" t="s">
        <v>2193</v>
      </c>
      <c r="E264" t="s">
        <v>2194</v>
      </c>
    </row>
    <row r="265" spans="1:5" x14ac:dyDescent="0.25">
      <c r="A265" t="s">
        <v>2195</v>
      </c>
      <c r="B265">
        <v>10</v>
      </c>
      <c r="C265" t="s">
        <v>198</v>
      </c>
      <c r="D265" t="s">
        <v>2196</v>
      </c>
      <c r="E265" t="s">
        <v>2197</v>
      </c>
    </row>
    <row r="266" spans="1:5" x14ac:dyDescent="0.25">
      <c r="A266" t="s">
        <v>508</v>
      </c>
      <c r="B266">
        <v>10</v>
      </c>
      <c r="C266" t="s">
        <v>176</v>
      </c>
      <c r="D266" t="s">
        <v>2198</v>
      </c>
      <c r="E266" t="s">
        <v>2199</v>
      </c>
    </row>
    <row r="267" spans="1:5" x14ac:dyDescent="0.25">
      <c r="A267" t="s">
        <v>514</v>
      </c>
      <c r="B267">
        <v>10</v>
      </c>
      <c r="C267" t="s">
        <v>176</v>
      </c>
      <c r="D267" t="s">
        <v>2200</v>
      </c>
      <c r="E267" t="s">
        <v>2201</v>
      </c>
    </row>
    <row r="268" spans="1:5" x14ac:dyDescent="0.25">
      <c r="A268" t="s">
        <v>573</v>
      </c>
      <c r="B268">
        <v>10</v>
      </c>
      <c r="C268" t="s">
        <v>221</v>
      </c>
      <c r="D268" t="s">
        <v>2202</v>
      </c>
      <c r="E268" t="s">
        <v>2203</v>
      </c>
    </row>
    <row r="269" spans="1:5" x14ac:dyDescent="0.25">
      <c r="A269" t="s">
        <v>855</v>
      </c>
      <c r="B269">
        <v>10</v>
      </c>
      <c r="C269" t="s">
        <v>176</v>
      </c>
      <c r="D269" t="s">
        <v>2204</v>
      </c>
      <c r="E269" t="s">
        <v>2205</v>
      </c>
    </row>
    <row r="270" spans="1:5" x14ac:dyDescent="0.25">
      <c r="A270" t="s">
        <v>704</v>
      </c>
      <c r="B270">
        <v>10</v>
      </c>
      <c r="C270" t="s">
        <v>198</v>
      </c>
      <c r="D270" t="s">
        <v>2206</v>
      </c>
      <c r="E270" t="s">
        <v>2207</v>
      </c>
    </row>
    <row r="271" spans="1:5" x14ac:dyDescent="0.25">
      <c r="A271" t="s">
        <v>2208</v>
      </c>
      <c r="B271">
        <v>10</v>
      </c>
      <c r="C271" t="s">
        <v>198</v>
      </c>
      <c r="D271" t="s">
        <v>2209</v>
      </c>
      <c r="E271" t="s">
        <v>2210</v>
      </c>
    </row>
    <row r="272" spans="1:5" x14ac:dyDescent="0.25">
      <c r="A272" t="s">
        <v>938</v>
      </c>
      <c r="B272">
        <v>10</v>
      </c>
      <c r="C272" t="s">
        <v>186</v>
      </c>
      <c r="D272" t="s">
        <v>2211</v>
      </c>
      <c r="E272" t="s">
        <v>2212</v>
      </c>
    </row>
    <row r="273" spans="1:5" x14ac:dyDescent="0.25">
      <c r="A273" t="s">
        <v>1103</v>
      </c>
      <c r="B273">
        <v>10</v>
      </c>
      <c r="C273" t="s">
        <v>186</v>
      </c>
      <c r="D273" t="s">
        <v>2213</v>
      </c>
      <c r="E273" t="s">
        <v>2214</v>
      </c>
    </row>
    <row r="274" spans="1:5" x14ac:dyDescent="0.25">
      <c r="A274" t="s">
        <v>1121</v>
      </c>
      <c r="B274">
        <v>10</v>
      </c>
      <c r="C274" t="s">
        <v>176</v>
      </c>
      <c r="D274" t="s">
        <v>2215</v>
      </c>
      <c r="E274" t="s">
        <v>2216</v>
      </c>
    </row>
    <row r="275" spans="1:5" x14ac:dyDescent="0.25">
      <c r="A275" t="s">
        <v>805</v>
      </c>
      <c r="B275">
        <v>10</v>
      </c>
      <c r="C275" t="s">
        <v>176</v>
      </c>
      <c r="D275" t="s">
        <v>2217</v>
      </c>
      <c r="E275" t="s">
        <v>2218</v>
      </c>
    </row>
    <row r="276" spans="1:5" x14ac:dyDescent="0.25">
      <c r="A276" t="s">
        <v>1148</v>
      </c>
      <c r="B276">
        <v>10</v>
      </c>
      <c r="C276" t="s">
        <v>186</v>
      </c>
      <c r="D276" t="s">
        <v>2219</v>
      </c>
      <c r="E276" t="s">
        <v>2220</v>
      </c>
    </row>
    <row r="277" spans="1:5" x14ac:dyDescent="0.25">
      <c r="A277" t="s">
        <v>1139</v>
      </c>
      <c r="B277">
        <v>10</v>
      </c>
      <c r="C277" t="s">
        <v>198</v>
      </c>
      <c r="D277" t="s">
        <v>2221</v>
      </c>
      <c r="E277" t="s">
        <v>2222</v>
      </c>
    </row>
    <row r="278" spans="1:5" x14ac:dyDescent="0.25">
      <c r="A278" t="s">
        <v>1482</v>
      </c>
      <c r="B278">
        <v>10</v>
      </c>
      <c r="C278" t="s">
        <v>221</v>
      </c>
      <c r="D278" t="s">
        <v>2223</v>
      </c>
      <c r="E278" t="s">
        <v>2224</v>
      </c>
    </row>
    <row r="279" spans="1:5" x14ac:dyDescent="0.25">
      <c r="A279" t="s">
        <v>1175</v>
      </c>
      <c r="B279">
        <v>10</v>
      </c>
      <c r="C279" t="s">
        <v>198</v>
      </c>
      <c r="D279" t="s">
        <v>2225</v>
      </c>
      <c r="E279" t="s">
        <v>2226</v>
      </c>
    </row>
    <row r="280" spans="1:5" x14ac:dyDescent="0.25">
      <c r="A280" t="s">
        <v>1127</v>
      </c>
      <c r="B280">
        <v>10</v>
      </c>
      <c r="C280" t="s">
        <v>176</v>
      </c>
      <c r="D280" t="s">
        <v>2227</v>
      </c>
      <c r="E280" t="s">
        <v>2228</v>
      </c>
    </row>
    <row r="281" spans="1:5" x14ac:dyDescent="0.25">
      <c r="A281" t="s">
        <v>1166</v>
      </c>
      <c r="B281">
        <v>10</v>
      </c>
      <c r="C281" t="s">
        <v>189</v>
      </c>
      <c r="D281" t="s">
        <v>2229</v>
      </c>
      <c r="E281" t="s">
        <v>2230</v>
      </c>
    </row>
    <row r="282" spans="1:5" x14ac:dyDescent="0.25">
      <c r="A282" t="s">
        <v>1063</v>
      </c>
      <c r="B282">
        <v>10</v>
      </c>
      <c r="C282" t="s">
        <v>1743</v>
      </c>
      <c r="D282" t="s">
        <v>2231</v>
      </c>
      <c r="E282" t="s">
        <v>2232</v>
      </c>
    </row>
    <row r="283" spans="1:5" x14ac:dyDescent="0.25">
      <c r="A283" t="s">
        <v>1365</v>
      </c>
      <c r="B283">
        <v>10</v>
      </c>
      <c r="C283" t="s">
        <v>221</v>
      </c>
      <c r="D283" t="s">
        <v>2233</v>
      </c>
      <c r="E283" t="s">
        <v>2234</v>
      </c>
    </row>
    <row r="284" spans="1:5" x14ac:dyDescent="0.25">
      <c r="A284" t="s">
        <v>2235</v>
      </c>
      <c r="B284">
        <v>9</v>
      </c>
      <c r="C284" t="s">
        <v>198</v>
      </c>
      <c r="D284" t="s">
        <v>2236</v>
      </c>
      <c r="E284" t="s">
        <v>2237</v>
      </c>
    </row>
    <row r="285" spans="1:5" x14ac:dyDescent="0.25">
      <c r="A285" t="s">
        <v>371</v>
      </c>
      <c r="B285">
        <v>9</v>
      </c>
      <c r="C285" t="s">
        <v>198</v>
      </c>
      <c r="D285" t="s">
        <v>2238</v>
      </c>
      <c r="E285" t="s">
        <v>2239</v>
      </c>
    </row>
    <row r="286" spans="1:5" x14ac:dyDescent="0.25">
      <c r="A286" t="s">
        <v>2240</v>
      </c>
      <c r="B286">
        <v>9</v>
      </c>
      <c r="C286" t="s">
        <v>198</v>
      </c>
      <c r="D286" t="s">
        <v>2241</v>
      </c>
      <c r="E286" t="s">
        <v>2242</v>
      </c>
    </row>
    <row r="287" spans="1:5" x14ac:dyDescent="0.25">
      <c r="A287" t="s">
        <v>784</v>
      </c>
      <c r="B287">
        <v>9</v>
      </c>
      <c r="C287" t="s">
        <v>186</v>
      </c>
      <c r="D287" t="s">
        <v>2243</v>
      </c>
      <c r="E287" t="s">
        <v>2244</v>
      </c>
    </row>
    <row r="288" spans="1:5" x14ac:dyDescent="0.25">
      <c r="A288" t="s">
        <v>457</v>
      </c>
      <c r="B288">
        <v>9</v>
      </c>
      <c r="C288" t="s">
        <v>186</v>
      </c>
      <c r="D288" t="s">
        <v>2245</v>
      </c>
      <c r="E288" t="s">
        <v>2246</v>
      </c>
    </row>
    <row r="289" spans="1:5" x14ac:dyDescent="0.25">
      <c r="A289" t="s">
        <v>979</v>
      </c>
      <c r="B289">
        <v>9</v>
      </c>
      <c r="C289" t="s">
        <v>186</v>
      </c>
      <c r="D289" t="s">
        <v>2247</v>
      </c>
      <c r="E289" t="s">
        <v>2248</v>
      </c>
    </row>
    <row r="290" spans="1:5" x14ac:dyDescent="0.25">
      <c r="A290" t="s">
        <v>2249</v>
      </c>
      <c r="B290">
        <v>9</v>
      </c>
      <c r="C290" t="s">
        <v>176</v>
      </c>
      <c r="D290" t="s">
        <v>2250</v>
      </c>
      <c r="E290" t="s">
        <v>2251</v>
      </c>
    </row>
    <row r="291" spans="1:5" x14ac:dyDescent="0.25">
      <c r="A291" t="s">
        <v>811</v>
      </c>
      <c r="B291">
        <v>9</v>
      </c>
      <c r="C291" t="s">
        <v>189</v>
      </c>
      <c r="D291" t="s">
        <v>2252</v>
      </c>
      <c r="E291" t="s">
        <v>2253</v>
      </c>
    </row>
    <row r="292" spans="1:5" x14ac:dyDescent="0.25">
      <c r="A292" t="s">
        <v>1494</v>
      </c>
      <c r="B292">
        <v>9</v>
      </c>
      <c r="C292" t="s">
        <v>176</v>
      </c>
      <c r="D292" t="s">
        <v>2254</v>
      </c>
      <c r="E292" t="s">
        <v>2255</v>
      </c>
    </row>
    <row r="293" spans="1:5" x14ac:dyDescent="0.25">
      <c r="A293" t="s">
        <v>1427</v>
      </c>
      <c r="B293">
        <v>9</v>
      </c>
      <c r="C293" t="s">
        <v>176</v>
      </c>
      <c r="D293" t="s">
        <v>2256</v>
      </c>
      <c r="E293" t="s">
        <v>2257</v>
      </c>
    </row>
    <row r="294" spans="1:5" x14ac:dyDescent="0.25">
      <c r="A294" t="s">
        <v>1060</v>
      </c>
      <c r="B294">
        <v>9</v>
      </c>
      <c r="C294" t="s">
        <v>198</v>
      </c>
      <c r="D294" t="s">
        <v>2258</v>
      </c>
      <c r="E294" t="s">
        <v>2259</v>
      </c>
    </row>
    <row r="295" spans="1:5" x14ac:dyDescent="0.25">
      <c r="A295" t="s">
        <v>1485</v>
      </c>
      <c r="B295">
        <v>9</v>
      </c>
      <c r="C295" t="s">
        <v>198</v>
      </c>
      <c r="D295" t="s">
        <v>2260</v>
      </c>
      <c r="E295" t="s">
        <v>2261</v>
      </c>
    </row>
    <row r="296" spans="1:5" x14ac:dyDescent="0.25">
      <c r="A296" t="s">
        <v>1383</v>
      </c>
      <c r="B296">
        <v>9</v>
      </c>
      <c r="C296" t="s">
        <v>186</v>
      </c>
      <c r="D296" t="s">
        <v>2262</v>
      </c>
      <c r="E296" t="s">
        <v>2263</v>
      </c>
    </row>
    <row r="297" spans="1:5" x14ac:dyDescent="0.25">
      <c r="A297" t="s">
        <v>1337</v>
      </c>
      <c r="B297">
        <v>9</v>
      </c>
      <c r="C297" t="s">
        <v>221</v>
      </c>
      <c r="D297" t="s">
        <v>2264</v>
      </c>
      <c r="E297" t="s">
        <v>2265</v>
      </c>
    </row>
    <row r="298" spans="1:5" x14ac:dyDescent="0.25">
      <c r="A298" t="s">
        <v>2266</v>
      </c>
      <c r="B298">
        <v>8</v>
      </c>
      <c r="C298" t="s">
        <v>186</v>
      </c>
      <c r="D298" t="s">
        <v>2267</v>
      </c>
      <c r="E298" t="s">
        <v>2268</v>
      </c>
    </row>
    <row r="299" spans="1:5" x14ac:dyDescent="0.25">
      <c r="A299" t="s">
        <v>503</v>
      </c>
      <c r="B299">
        <v>8</v>
      </c>
      <c r="C299" t="s">
        <v>186</v>
      </c>
      <c r="D299" t="s">
        <v>2269</v>
      </c>
      <c r="E299" t="s">
        <v>2270</v>
      </c>
    </row>
    <row r="300" spans="1:5" x14ac:dyDescent="0.25">
      <c r="A300" t="s">
        <v>401</v>
      </c>
      <c r="B300">
        <v>8</v>
      </c>
      <c r="C300" t="s">
        <v>198</v>
      </c>
      <c r="D300" t="s">
        <v>2271</v>
      </c>
      <c r="E300" t="s">
        <v>2272</v>
      </c>
    </row>
    <row r="301" spans="1:5" x14ac:dyDescent="0.25">
      <c r="A301" t="s">
        <v>489</v>
      </c>
      <c r="B301">
        <v>8</v>
      </c>
      <c r="C301" t="s">
        <v>198</v>
      </c>
      <c r="D301" t="s">
        <v>2273</v>
      </c>
      <c r="E301" t="s">
        <v>2274</v>
      </c>
    </row>
    <row r="302" spans="1:5" x14ac:dyDescent="0.25">
      <c r="A302" t="s">
        <v>483</v>
      </c>
      <c r="B302">
        <v>8</v>
      </c>
      <c r="C302" t="s">
        <v>176</v>
      </c>
      <c r="D302" t="s">
        <v>2275</v>
      </c>
      <c r="E302" t="s">
        <v>2276</v>
      </c>
    </row>
    <row r="303" spans="1:5" x14ac:dyDescent="0.25">
      <c r="A303" t="s">
        <v>1160</v>
      </c>
      <c r="B303">
        <v>8</v>
      </c>
      <c r="C303" t="s">
        <v>176</v>
      </c>
      <c r="D303" t="s">
        <v>2277</v>
      </c>
      <c r="E303" t="s">
        <v>2278</v>
      </c>
    </row>
    <row r="304" spans="1:5" x14ac:dyDescent="0.25">
      <c r="A304" t="s">
        <v>1072</v>
      </c>
      <c r="B304">
        <v>8</v>
      </c>
      <c r="C304" t="s">
        <v>198</v>
      </c>
      <c r="D304" t="s">
        <v>2279</v>
      </c>
      <c r="E304" t="s">
        <v>2280</v>
      </c>
    </row>
    <row r="305" spans="1:5" x14ac:dyDescent="0.25">
      <c r="A305" t="s">
        <v>1082</v>
      </c>
      <c r="B305">
        <v>8</v>
      </c>
      <c r="C305" t="s">
        <v>176</v>
      </c>
      <c r="D305" t="s">
        <v>2281</v>
      </c>
      <c r="E305" t="s">
        <v>2282</v>
      </c>
    </row>
    <row r="306" spans="1:5" x14ac:dyDescent="0.25">
      <c r="A306" t="s">
        <v>1491</v>
      </c>
      <c r="B306">
        <v>8</v>
      </c>
      <c r="C306" t="s">
        <v>186</v>
      </c>
      <c r="D306" t="s">
        <v>2283</v>
      </c>
      <c r="E306" t="s">
        <v>2284</v>
      </c>
    </row>
    <row r="307" spans="1:5" x14ac:dyDescent="0.25">
      <c r="A307" t="s">
        <v>1222</v>
      </c>
      <c r="B307">
        <v>8</v>
      </c>
      <c r="C307" t="s">
        <v>186</v>
      </c>
      <c r="D307" t="s">
        <v>2285</v>
      </c>
      <c r="E307" t="s">
        <v>2286</v>
      </c>
    </row>
    <row r="308" spans="1:5" x14ac:dyDescent="0.25">
      <c r="A308" t="s">
        <v>1377</v>
      </c>
      <c r="B308">
        <v>8</v>
      </c>
      <c r="C308" t="s">
        <v>186</v>
      </c>
      <c r="D308" t="s">
        <v>2287</v>
      </c>
      <c r="E308" t="s">
        <v>2288</v>
      </c>
    </row>
    <row r="309" spans="1:5" x14ac:dyDescent="0.25">
      <c r="A309" t="s">
        <v>1509</v>
      </c>
      <c r="B309">
        <v>8</v>
      </c>
      <c r="C309" t="s">
        <v>189</v>
      </c>
      <c r="D309" t="s">
        <v>2289</v>
      </c>
      <c r="E309" t="s">
        <v>2290</v>
      </c>
    </row>
    <row r="310" spans="1:5" x14ac:dyDescent="0.25">
      <c r="A310" t="s">
        <v>1519</v>
      </c>
      <c r="B310">
        <v>8</v>
      </c>
      <c r="C310" t="s">
        <v>202</v>
      </c>
      <c r="D310" t="s">
        <v>2291</v>
      </c>
      <c r="E310" t="s">
        <v>2292</v>
      </c>
    </row>
    <row r="311" spans="1:5" x14ac:dyDescent="0.25">
      <c r="A311" t="s">
        <v>1362</v>
      </c>
      <c r="B311">
        <v>8</v>
      </c>
      <c r="C311" t="s">
        <v>186</v>
      </c>
      <c r="D311" t="s">
        <v>2293</v>
      </c>
      <c r="E311" t="s">
        <v>2294</v>
      </c>
    </row>
    <row r="312" spans="1:5" x14ac:dyDescent="0.25">
      <c r="A312" t="s">
        <v>1374</v>
      </c>
      <c r="B312">
        <v>8</v>
      </c>
      <c r="C312" t="s">
        <v>221</v>
      </c>
      <c r="D312" t="s">
        <v>2295</v>
      </c>
      <c r="E312" t="s">
        <v>2296</v>
      </c>
    </row>
    <row r="313" spans="1:5" x14ac:dyDescent="0.25">
      <c r="A313" t="s">
        <v>1551</v>
      </c>
      <c r="B313">
        <v>8</v>
      </c>
      <c r="C313" t="s">
        <v>186</v>
      </c>
      <c r="D313" t="s">
        <v>2297</v>
      </c>
      <c r="E313" t="s">
        <v>2298</v>
      </c>
    </row>
    <row r="314" spans="1:5" x14ac:dyDescent="0.25">
      <c r="A314" t="s">
        <v>2299</v>
      </c>
      <c r="B314">
        <v>7</v>
      </c>
      <c r="C314" t="s">
        <v>198</v>
      </c>
      <c r="D314" t="s">
        <v>2300</v>
      </c>
      <c r="E314" t="s">
        <v>2301</v>
      </c>
    </row>
    <row r="315" spans="1:5" x14ac:dyDescent="0.25">
      <c r="A315" t="s">
        <v>2302</v>
      </c>
      <c r="B315">
        <v>7</v>
      </c>
      <c r="C315" t="s">
        <v>198</v>
      </c>
      <c r="D315" t="s">
        <v>2303</v>
      </c>
      <c r="E315" t="s">
        <v>2304</v>
      </c>
    </row>
    <row r="316" spans="1:5" x14ac:dyDescent="0.25">
      <c r="A316" t="s">
        <v>2305</v>
      </c>
      <c r="B316">
        <v>7</v>
      </c>
      <c r="C316" t="s">
        <v>198</v>
      </c>
      <c r="D316" t="s">
        <v>2306</v>
      </c>
      <c r="E316" t="s">
        <v>2307</v>
      </c>
    </row>
    <row r="317" spans="1:5" x14ac:dyDescent="0.25">
      <c r="A317" t="s">
        <v>495</v>
      </c>
      <c r="B317">
        <v>7</v>
      </c>
      <c r="C317" t="s">
        <v>198</v>
      </c>
      <c r="D317" t="s">
        <v>2308</v>
      </c>
      <c r="E317" t="s">
        <v>2309</v>
      </c>
    </row>
    <row r="318" spans="1:5" x14ac:dyDescent="0.25">
      <c r="A318" t="s">
        <v>478</v>
      </c>
      <c r="B318">
        <v>7</v>
      </c>
      <c r="C318" t="s">
        <v>198</v>
      </c>
      <c r="D318" t="s">
        <v>2310</v>
      </c>
      <c r="E318" t="s">
        <v>2311</v>
      </c>
    </row>
    <row r="319" spans="1:5" x14ac:dyDescent="0.25">
      <c r="A319" t="s">
        <v>802</v>
      </c>
      <c r="B319">
        <v>7</v>
      </c>
      <c r="C319" t="s">
        <v>176</v>
      </c>
      <c r="D319" t="s">
        <v>2312</v>
      </c>
      <c r="E319" t="s">
        <v>2313</v>
      </c>
    </row>
    <row r="320" spans="1:5" x14ac:dyDescent="0.25">
      <c r="A320" t="s">
        <v>976</v>
      </c>
      <c r="B320">
        <v>7</v>
      </c>
      <c r="C320" t="s">
        <v>198</v>
      </c>
      <c r="D320" t="s">
        <v>2314</v>
      </c>
      <c r="E320" t="s">
        <v>2315</v>
      </c>
    </row>
    <row r="321" spans="1:5" x14ac:dyDescent="0.25">
      <c r="A321" t="s">
        <v>1100</v>
      </c>
      <c r="B321">
        <v>7</v>
      </c>
      <c r="C321" t="s">
        <v>221</v>
      </c>
      <c r="D321" t="s">
        <v>2316</v>
      </c>
      <c r="E321" t="s">
        <v>2317</v>
      </c>
    </row>
    <row r="322" spans="1:5" x14ac:dyDescent="0.25">
      <c r="A322" t="s">
        <v>947</v>
      </c>
      <c r="B322">
        <v>7</v>
      </c>
      <c r="C322" t="s">
        <v>176</v>
      </c>
      <c r="D322" t="s">
        <v>2318</v>
      </c>
      <c r="E322" t="s">
        <v>2319</v>
      </c>
    </row>
    <row r="323" spans="1:5" x14ac:dyDescent="0.25">
      <c r="A323" t="s">
        <v>1145</v>
      </c>
      <c r="B323">
        <v>7</v>
      </c>
      <c r="C323" t="s">
        <v>186</v>
      </c>
      <c r="D323" t="s">
        <v>2320</v>
      </c>
      <c r="E323" t="s">
        <v>2321</v>
      </c>
    </row>
    <row r="324" spans="1:5" x14ac:dyDescent="0.25">
      <c r="A324" t="s">
        <v>1190</v>
      </c>
      <c r="B324">
        <v>7</v>
      </c>
      <c r="C324" t="s">
        <v>221</v>
      </c>
      <c r="D324" t="s">
        <v>2322</v>
      </c>
      <c r="E324" t="s">
        <v>2323</v>
      </c>
    </row>
    <row r="325" spans="1:5" x14ac:dyDescent="0.25">
      <c r="A325" t="s">
        <v>1178</v>
      </c>
      <c r="B325">
        <v>7</v>
      </c>
      <c r="C325" t="s">
        <v>189</v>
      </c>
      <c r="D325" t="s">
        <v>2324</v>
      </c>
      <c r="E325" t="s">
        <v>2325</v>
      </c>
    </row>
    <row r="326" spans="1:5" x14ac:dyDescent="0.25">
      <c r="A326" t="s">
        <v>2326</v>
      </c>
      <c r="B326">
        <v>7</v>
      </c>
      <c r="C326" t="s">
        <v>198</v>
      </c>
      <c r="D326" t="s">
        <v>2327</v>
      </c>
      <c r="E326" t="s">
        <v>2328</v>
      </c>
    </row>
    <row r="327" spans="1:5" x14ac:dyDescent="0.25">
      <c r="A327" t="s">
        <v>1530</v>
      </c>
      <c r="B327">
        <v>7</v>
      </c>
      <c r="C327" t="s">
        <v>186</v>
      </c>
      <c r="D327" t="s">
        <v>2329</v>
      </c>
      <c r="E327" t="s">
        <v>2330</v>
      </c>
    </row>
    <row r="328" spans="1:5" x14ac:dyDescent="0.25">
      <c r="A328" t="s">
        <v>2331</v>
      </c>
      <c r="B328">
        <v>6</v>
      </c>
      <c r="C328" t="s">
        <v>198</v>
      </c>
      <c r="D328" t="s">
        <v>2332</v>
      </c>
      <c r="E328" t="s">
        <v>2333</v>
      </c>
    </row>
    <row r="329" spans="1:5" x14ac:dyDescent="0.25">
      <c r="A329" t="s">
        <v>364</v>
      </c>
      <c r="B329">
        <v>6</v>
      </c>
      <c r="C329" t="s">
        <v>186</v>
      </c>
      <c r="D329" t="s">
        <v>2334</v>
      </c>
      <c r="E329" t="s">
        <v>2335</v>
      </c>
    </row>
    <row r="330" spans="1:5" x14ac:dyDescent="0.25">
      <c r="A330" t="s">
        <v>2336</v>
      </c>
      <c r="B330">
        <v>6</v>
      </c>
      <c r="C330" t="s">
        <v>198</v>
      </c>
      <c r="D330" t="s">
        <v>2337</v>
      </c>
      <c r="E330" t="s">
        <v>2338</v>
      </c>
    </row>
    <row r="331" spans="1:5" x14ac:dyDescent="0.25">
      <c r="A331" t="s">
        <v>2339</v>
      </c>
      <c r="B331">
        <v>6</v>
      </c>
      <c r="C331" t="s">
        <v>186</v>
      </c>
      <c r="D331" t="s">
        <v>2340</v>
      </c>
      <c r="E331" t="s">
        <v>2341</v>
      </c>
    </row>
    <row r="332" spans="1:5" x14ac:dyDescent="0.25">
      <c r="A332" t="s">
        <v>2342</v>
      </c>
      <c r="B332">
        <v>6</v>
      </c>
      <c r="C332" t="s">
        <v>186</v>
      </c>
      <c r="D332" t="s">
        <v>2343</v>
      </c>
      <c r="E332" t="s">
        <v>2344</v>
      </c>
    </row>
    <row r="333" spans="1:5" x14ac:dyDescent="0.25">
      <c r="A333" t="s">
        <v>2345</v>
      </c>
      <c r="B333">
        <v>6</v>
      </c>
      <c r="C333" t="s">
        <v>186</v>
      </c>
      <c r="D333" t="s">
        <v>2346</v>
      </c>
      <c r="E333" t="s">
        <v>2347</v>
      </c>
    </row>
    <row r="334" spans="1:5" x14ac:dyDescent="0.25">
      <c r="A334" t="s">
        <v>2348</v>
      </c>
      <c r="B334">
        <v>6</v>
      </c>
      <c r="C334" t="s">
        <v>198</v>
      </c>
      <c r="D334" t="s">
        <v>2349</v>
      </c>
      <c r="E334" t="s">
        <v>2350</v>
      </c>
    </row>
    <row r="335" spans="1:5" x14ac:dyDescent="0.25">
      <c r="A335" t="s">
        <v>434</v>
      </c>
      <c r="B335">
        <v>6</v>
      </c>
      <c r="C335" t="s">
        <v>198</v>
      </c>
      <c r="D335" t="s">
        <v>2351</v>
      </c>
      <c r="E335" t="s">
        <v>2352</v>
      </c>
    </row>
    <row r="336" spans="1:5" x14ac:dyDescent="0.25">
      <c r="A336" t="s">
        <v>540</v>
      </c>
      <c r="B336">
        <v>6</v>
      </c>
      <c r="C336" t="s">
        <v>176</v>
      </c>
      <c r="D336" t="s">
        <v>2353</v>
      </c>
      <c r="E336" t="s">
        <v>2354</v>
      </c>
    </row>
    <row r="337" spans="1:5" x14ac:dyDescent="0.25">
      <c r="A337" t="s">
        <v>716</v>
      </c>
      <c r="B337">
        <v>6</v>
      </c>
      <c r="C337" t="s">
        <v>198</v>
      </c>
      <c r="D337" t="s">
        <v>2355</v>
      </c>
      <c r="E337" t="s">
        <v>2356</v>
      </c>
    </row>
    <row r="338" spans="1:5" x14ac:dyDescent="0.25">
      <c r="A338" t="s">
        <v>814</v>
      </c>
      <c r="B338">
        <v>6</v>
      </c>
      <c r="C338" t="s">
        <v>202</v>
      </c>
      <c r="D338" t="s">
        <v>2357</v>
      </c>
      <c r="E338" t="s">
        <v>2358</v>
      </c>
    </row>
    <row r="339" spans="1:5" x14ac:dyDescent="0.25">
      <c r="A339" t="s">
        <v>968</v>
      </c>
      <c r="B339">
        <v>6</v>
      </c>
      <c r="C339" t="s">
        <v>198</v>
      </c>
      <c r="D339" t="s">
        <v>2359</v>
      </c>
      <c r="E339" t="s">
        <v>2360</v>
      </c>
    </row>
    <row r="340" spans="1:5" x14ac:dyDescent="0.25">
      <c r="A340" t="s">
        <v>944</v>
      </c>
      <c r="B340">
        <v>6</v>
      </c>
      <c r="C340" t="s">
        <v>198</v>
      </c>
      <c r="D340" t="s">
        <v>2361</v>
      </c>
      <c r="E340" t="s">
        <v>2362</v>
      </c>
    </row>
    <row r="341" spans="1:5" x14ac:dyDescent="0.25">
      <c r="A341" t="s">
        <v>2363</v>
      </c>
      <c r="B341">
        <v>6</v>
      </c>
      <c r="C341" t="s">
        <v>186</v>
      </c>
      <c r="D341" t="s">
        <v>2364</v>
      </c>
      <c r="E341" t="s">
        <v>2365</v>
      </c>
    </row>
    <row r="342" spans="1:5" x14ac:dyDescent="0.25">
      <c r="A342" t="s">
        <v>1088</v>
      </c>
      <c r="B342">
        <v>6</v>
      </c>
      <c r="C342" t="s">
        <v>198</v>
      </c>
      <c r="D342" t="s">
        <v>2366</v>
      </c>
      <c r="E342" t="s">
        <v>2367</v>
      </c>
    </row>
    <row r="343" spans="1:5" x14ac:dyDescent="0.25">
      <c r="A343" t="s">
        <v>900</v>
      </c>
      <c r="B343">
        <v>6</v>
      </c>
      <c r="C343" t="s">
        <v>198</v>
      </c>
      <c r="D343" t="s">
        <v>2368</v>
      </c>
      <c r="E343" t="s">
        <v>2369</v>
      </c>
    </row>
    <row r="344" spans="1:5" x14ac:dyDescent="0.25">
      <c r="A344" t="s">
        <v>2370</v>
      </c>
      <c r="B344">
        <v>6</v>
      </c>
      <c r="C344" t="s">
        <v>186</v>
      </c>
      <c r="D344" t="s">
        <v>2371</v>
      </c>
      <c r="E344" t="s">
        <v>2372</v>
      </c>
    </row>
    <row r="345" spans="1:5" x14ac:dyDescent="0.25">
      <c r="A345" t="s">
        <v>1290</v>
      </c>
      <c r="B345">
        <v>6</v>
      </c>
      <c r="C345" t="s">
        <v>221</v>
      </c>
      <c r="D345" t="s">
        <v>2373</v>
      </c>
      <c r="E345" t="s">
        <v>2374</v>
      </c>
    </row>
    <row r="346" spans="1:5" x14ac:dyDescent="0.25">
      <c r="A346" t="s">
        <v>1281</v>
      </c>
      <c r="B346">
        <v>6</v>
      </c>
      <c r="C346" t="s">
        <v>186</v>
      </c>
      <c r="D346" t="s">
        <v>2375</v>
      </c>
      <c r="E346" t="s">
        <v>2376</v>
      </c>
    </row>
    <row r="347" spans="1:5" x14ac:dyDescent="0.25">
      <c r="A347" t="s">
        <v>1287</v>
      </c>
      <c r="B347">
        <v>6</v>
      </c>
      <c r="C347" t="s">
        <v>186</v>
      </c>
      <c r="D347" t="s">
        <v>2377</v>
      </c>
      <c r="E347" t="s">
        <v>2378</v>
      </c>
    </row>
    <row r="348" spans="1:5" x14ac:dyDescent="0.25">
      <c r="A348" t="s">
        <v>1343</v>
      </c>
      <c r="B348">
        <v>6</v>
      </c>
      <c r="C348" t="s">
        <v>221</v>
      </c>
      <c r="D348" t="s">
        <v>2379</v>
      </c>
      <c r="E348" t="s">
        <v>2380</v>
      </c>
    </row>
    <row r="349" spans="1:5" x14ac:dyDescent="0.25">
      <c r="A349" t="s">
        <v>1506</v>
      </c>
      <c r="B349">
        <v>6</v>
      </c>
      <c r="C349" t="s">
        <v>221</v>
      </c>
      <c r="D349" t="s">
        <v>2381</v>
      </c>
      <c r="E349" t="s">
        <v>2382</v>
      </c>
    </row>
    <row r="350" spans="1:5" x14ac:dyDescent="0.25">
      <c r="A350" t="s">
        <v>1546</v>
      </c>
      <c r="B350">
        <v>6</v>
      </c>
      <c r="C350" t="s">
        <v>186</v>
      </c>
      <c r="D350" t="s">
        <v>2383</v>
      </c>
      <c r="E350" t="s">
        <v>2384</v>
      </c>
    </row>
    <row r="351" spans="1:5" x14ac:dyDescent="0.25">
      <c r="A351" t="s">
        <v>1512</v>
      </c>
      <c r="B351">
        <v>6</v>
      </c>
      <c r="C351" t="s">
        <v>198</v>
      </c>
      <c r="D351" t="s">
        <v>2385</v>
      </c>
      <c r="E351" t="s">
        <v>2386</v>
      </c>
    </row>
    <row r="352" spans="1:5" x14ac:dyDescent="0.25">
      <c r="A352" t="s">
        <v>2387</v>
      </c>
      <c r="B352">
        <v>5</v>
      </c>
      <c r="C352" t="s">
        <v>198</v>
      </c>
      <c r="D352" t="s">
        <v>2388</v>
      </c>
      <c r="E352" t="s">
        <v>2389</v>
      </c>
    </row>
    <row r="353" spans="1:5" x14ac:dyDescent="0.25">
      <c r="A353" t="s">
        <v>2390</v>
      </c>
      <c r="B353">
        <v>5</v>
      </c>
      <c r="C353" t="s">
        <v>198</v>
      </c>
      <c r="D353" t="s">
        <v>2391</v>
      </c>
      <c r="E353" t="s">
        <v>2392</v>
      </c>
    </row>
    <row r="354" spans="1:5" x14ac:dyDescent="0.25">
      <c r="A354" t="s">
        <v>2393</v>
      </c>
      <c r="B354">
        <v>5</v>
      </c>
      <c r="C354" t="s">
        <v>198</v>
      </c>
      <c r="D354" t="s">
        <v>2394</v>
      </c>
      <c r="E354" t="s">
        <v>2395</v>
      </c>
    </row>
    <row r="355" spans="1:5" x14ac:dyDescent="0.25">
      <c r="A355" t="s">
        <v>2396</v>
      </c>
      <c r="B355">
        <v>5</v>
      </c>
      <c r="C355" t="s">
        <v>198</v>
      </c>
      <c r="D355" t="s">
        <v>2397</v>
      </c>
      <c r="E355" t="s">
        <v>2398</v>
      </c>
    </row>
    <row r="356" spans="1:5" x14ac:dyDescent="0.25">
      <c r="A356" t="s">
        <v>350</v>
      </c>
      <c r="B356">
        <v>5</v>
      </c>
      <c r="C356" t="s">
        <v>186</v>
      </c>
      <c r="D356" t="s">
        <v>2399</v>
      </c>
      <c r="E356" t="s">
        <v>2400</v>
      </c>
    </row>
    <row r="357" spans="1:5" x14ac:dyDescent="0.25">
      <c r="A357" t="s">
        <v>2401</v>
      </c>
      <c r="B357">
        <v>5</v>
      </c>
      <c r="C357" t="s">
        <v>198</v>
      </c>
      <c r="D357" t="s">
        <v>2402</v>
      </c>
      <c r="E357" t="s">
        <v>2403</v>
      </c>
    </row>
    <row r="358" spans="1:5" x14ac:dyDescent="0.25">
      <c r="A358" t="s">
        <v>367</v>
      </c>
      <c r="B358">
        <v>5</v>
      </c>
      <c r="C358" t="s">
        <v>198</v>
      </c>
      <c r="D358" t="s">
        <v>2404</v>
      </c>
      <c r="E358" t="s">
        <v>2405</v>
      </c>
    </row>
    <row r="359" spans="1:5" x14ac:dyDescent="0.25">
      <c r="A359" t="s">
        <v>2406</v>
      </c>
      <c r="B359">
        <v>5</v>
      </c>
      <c r="C359" t="s">
        <v>198</v>
      </c>
      <c r="D359" t="s">
        <v>2407</v>
      </c>
      <c r="E359" t="s">
        <v>2408</v>
      </c>
    </row>
    <row r="360" spans="1:5" x14ac:dyDescent="0.25">
      <c r="A360" t="s">
        <v>2409</v>
      </c>
      <c r="B360">
        <v>5</v>
      </c>
      <c r="C360" t="s">
        <v>186</v>
      </c>
      <c r="D360" t="s">
        <v>2410</v>
      </c>
      <c r="E360" t="s">
        <v>2411</v>
      </c>
    </row>
    <row r="361" spans="1:5" x14ac:dyDescent="0.25">
      <c r="A361" t="s">
        <v>2412</v>
      </c>
      <c r="B361">
        <v>5</v>
      </c>
      <c r="C361" t="s">
        <v>221</v>
      </c>
      <c r="D361" t="s">
        <v>2413</v>
      </c>
      <c r="E361" t="s">
        <v>2414</v>
      </c>
    </row>
    <row r="362" spans="1:5" x14ac:dyDescent="0.25">
      <c r="A362" t="s">
        <v>828</v>
      </c>
      <c r="B362">
        <v>5</v>
      </c>
      <c r="C362" t="s">
        <v>198</v>
      </c>
      <c r="D362" t="s">
        <v>2415</v>
      </c>
      <c r="E362" t="s">
        <v>2416</v>
      </c>
    </row>
    <row r="363" spans="1:5" x14ac:dyDescent="0.25">
      <c r="A363" t="s">
        <v>941</v>
      </c>
      <c r="B363">
        <v>5</v>
      </c>
      <c r="C363" t="s">
        <v>198</v>
      </c>
      <c r="D363" t="s">
        <v>2417</v>
      </c>
      <c r="E363" t="s">
        <v>2418</v>
      </c>
    </row>
    <row r="364" spans="1:5" x14ac:dyDescent="0.25">
      <c r="A364" t="s">
        <v>701</v>
      </c>
      <c r="B364">
        <v>5</v>
      </c>
      <c r="C364" t="s">
        <v>198</v>
      </c>
      <c r="D364" t="s">
        <v>2419</v>
      </c>
      <c r="E364" t="s">
        <v>2420</v>
      </c>
    </row>
    <row r="365" spans="1:5" x14ac:dyDescent="0.25">
      <c r="A365" t="s">
        <v>492</v>
      </c>
      <c r="B365">
        <v>5</v>
      </c>
      <c r="C365" t="s">
        <v>198</v>
      </c>
      <c r="D365" t="s">
        <v>2421</v>
      </c>
      <c r="E365" t="s">
        <v>2422</v>
      </c>
    </row>
    <row r="366" spans="1:5" x14ac:dyDescent="0.25">
      <c r="A366" t="s">
        <v>1380</v>
      </c>
      <c r="B366">
        <v>5</v>
      </c>
      <c r="C366" t="s">
        <v>198</v>
      </c>
      <c r="D366" t="s">
        <v>2423</v>
      </c>
      <c r="E366" t="s">
        <v>2424</v>
      </c>
    </row>
    <row r="367" spans="1:5" x14ac:dyDescent="0.25">
      <c r="A367" t="s">
        <v>1477</v>
      </c>
      <c r="B367">
        <v>5</v>
      </c>
      <c r="C367" t="s">
        <v>198</v>
      </c>
      <c r="D367" t="s">
        <v>2425</v>
      </c>
      <c r="E367" t="s">
        <v>2426</v>
      </c>
    </row>
    <row r="368" spans="1:5" x14ac:dyDescent="0.25">
      <c r="A368" t="s">
        <v>1258</v>
      </c>
      <c r="B368">
        <v>5</v>
      </c>
      <c r="C368" t="s">
        <v>221</v>
      </c>
      <c r="D368" t="s">
        <v>2427</v>
      </c>
      <c r="E368" t="s">
        <v>2428</v>
      </c>
    </row>
    <row r="369" spans="1:5" x14ac:dyDescent="0.25">
      <c r="A369" t="s">
        <v>1560</v>
      </c>
      <c r="B369">
        <v>5</v>
      </c>
      <c r="C369" t="s">
        <v>186</v>
      </c>
      <c r="D369" t="s">
        <v>2429</v>
      </c>
      <c r="E369" t="s">
        <v>2430</v>
      </c>
    </row>
    <row r="370" spans="1:5" x14ac:dyDescent="0.25">
      <c r="A370" t="s">
        <v>2431</v>
      </c>
      <c r="B370">
        <v>5</v>
      </c>
      <c r="C370" t="s">
        <v>198</v>
      </c>
      <c r="D370" t="s">
        <v>2432</v>
      </c>
      <c r="E370" t="s">
        <v>2433</v>
      </c>
    </row>
    <row r="371" spans="1:5" x14ac:dyDescent="0.25">
      <c r="A371" t="s">
        <v>1330</v>
      </c>
      <c r="B371">
        <v>5</v>
      </c>
      <c r="C371" t="s">
        <v>186</v>
      </c>
      <c r="D371" t="s">
        <v>2434</v>
      </c>
      <c r="E371" t="s">
        <v>2435</v>
      </c>
    </row>
    <row r="372" spans="1:5" x14ac:dyDescent="0.25">
      <c r="A372" t="s">
        <v>1268</v>
      </c>
      <c r="B372">
        <v>5</v>
      </c>
      <c r="C372" t="s">
        <v>186</v>
      </c>
      <c r="D372" t="s">
        <v>2436</v>
      </c>
      <c r="E372" t="s">
        <v>2437</v>
      </c>
    </row>
    <row r="373" spans="1:5" x14ac:dyDescent="0.25">
      <c r="A373" t="s">
        <v>1522</v>
      </c>
      <c r="B373">
        <v>5</v>
      </c>
      <c r="C373" t="s">
        <v>186</v>
      </c>
      <c r="D373" t="s">
        <v>2438</v>
      </c>
      <c r="E373" t="s">
        <v>2439</v>
      </c>
    </row>
    <row r="374" spans="1:5" x14ac:dyDescent="0.25">
      <c r="A374" t="s">
        <v>1371</v>
      </c>
      <c r="B374">
        <v>5</v>
      </c>
      <c r="C374" t="s">
        <v>198</v>
      </c>
      <c r="D374" t="s">
        <v>2440</v>
      </c>
      <c r="E374" t="s">
        <v>2441</v>
      </c>
    </row>
    <row r="375" spans="1:5" x14ac:dyDescent="0.25">
      <c r="A375" t="s">
        <v>2442</v>
      </c>
      <c r="B375">
        <v>4</v>
      </c>
      <c r="C375" t="s">
        <v>186</v>
      </c>
      <c r="D375" t="s">
        <v>2443</v>
      </c>
      <c r="E375" t="s">
        <v>2444</v>
      </c>
    </row>
    <row r="376" spans="1:5" x14ac:dyDescent="0.25">
      <c r="A376" t="s">
        <v>2445</v>
      </c>
      <c r="B376">
        <v>4</v>
      </c>
      <c r="C376" t="s">
        <v>198</v>
      </c>
      <c r="D376" t="s">
        <v>2446</v>
      </c>
      <c r="E376" t="s">
        <v>2447</v>
      </c>
    </row>
    <row r="377" spans="1:5" x14ac:dyDescent="0.25">
      <c r="A377" t="s">
        <v>2448</v>
      </c>
      <c r="B377">
        <v>4</v>
      </c>
      <c r="C377" t="s">
        <v>198</v>
      </c>
      <c r="D377" t="s">
        <v>2449</v>
      </c>
      <c r="E377" t="s">
        <v>2450</v>
      </c>
    </row>
    <row r="378" spans="1:5" x14ac:dyDescent="0.25">
      <c r="A378" t="s">
        <v>369</v>
      </c>
      <c r="B378">
        <v>4</v>
      </c>
      <c r="C378" t="s">
        <v>198</v>
      </c>
      <c r="D378" t="s">
        <v>2451</v>
      </c>
      <c r="E378" t="s">
        <v>2452</v>
      </c>
    </row>
    <row r="379" spans="1:5" x14ac:dyDescent="0.25">
      <c r="A379" t="s">
        <v>2453</v>
      </c>
      <c r="B379">
        <v>4</v>
      </c>
      <c r="C379" t="s">
        <v>186</v>
      </c>
      <c r="D379" t="s">
        <v>2454</v>
      </c>
      <c r="E379" t="s">
        <v>2455</v>
      </c>
    </row>
    <row r="380" spans="1:5" x14ac:dyDescent="0.25">
      <c r="A380" t="s">
        <v>363</v>
      </c>
      <c r="B380">
        <v>4</v>
      </c>
      <c r="C380" t="s">
        <v>186</v>
      </c>
      <c r="D380" t="s">
        <v>2456</v>
      </c>
      <c r="E380" t="s">
        <v>2457</v>
      </c>
    </row>
    <row r="381" spans="1:5" x14ac:dyDescent="0.25">
      <c r="A381" t="s">
        <v>2458</v>
      </c>
      <c r="B381">
        <v>4</v>
      </c>
      <c r="C381" t="s">
        <v>198</v>
      </c>
      <c r="D381" t="s">
        <v>2459</v>
      </c>
      <c r="E381" t="s">
        <v>2460</v>
      </c>
    </row>
    <row r="382" spans="1:5" x14ac:dyDescent="0.25">
      <c r="A382" t="s">
        <v>2461</v>
      </c>
      <c r="B382">
        <v>4</v>
      </c>
      <c r="C382" t="s">
        <v>186</v>
      </c>
      <c r="D382" t="s">
        <v>2462</v>
      </c>
      <c r="E382" t="s">
        <v>2463</v>
      </c>
    </row>
    <row r="383" spans="1:5" x14ac:dyDescent="0.25">
      <c r="A383" t="s">
        <v>497</v>
      </c>
      <c r="B383">
        <v>4</v>
      </c>
      <c r="C383" t="s">
        <v>198</v>
      </c>
      <c r="D383" t="s">
        <v>2464</v>
      </c>
      <c r="E383" t="s">
        <v>2465</v>
      </c>
    </row>
    <row r="384" spans="1:5" x14ac:dyDescent="0.25">
      <c r="A384" t="s">
        <v>671</v>
      </c>
      <c r="B384">
        <v>4</v>
      </c>
      <c r="C384" t="s">
        <v>198</v>
      </c>
      <c r="D384" t="s">
        <v>2466</v>
      </c>
      <c r="E384" t="s">
        <v>2467</v>
      </c>
    </row>
    <row r="385" spans="1:5" x14ac:dyDescent="0.25">
      <c r="A385" t="s">
        <v>1202</v>
      </c>
      <c r="B385">
        <v>4</v>
      </c>
      <c r="C385" t="s">
        <v>198</v>
      </c>
      <c r="D385" t="s">
        <v>2468</v>
      </c>
      <c r="E385" t="s">
        <v>2469</v>
      </c>
    </row>
    <row r="386" spans="1:5" x14ac:dyDescent="0.25">
      <c r="A386" t="s">
        <v>1284</v>
      </c>
      <c r="B386">
        <v>4</v>
      </c>
      <c r="C386" t="s">
        <v>198</v>
      </c>
      <c r="D386" t="s">
        <v>2470</v>
      </c>
      <c r="E386" t="s">
        <v>2471</v>
      </c>
    </row>
    <row r="387" spans="1:5" x14ac:dyDescent="0.25">
      <c r="A387" t="s">
        <v>1042</v>
      </c>
      <c r="B387">
        <v>4</v>
      </c>
      <c r="C387" t="s">
        <v>186</v>
      </c>
      <c r="D387" t="s">
        <v>2472</v>
      </c>
      <c r="E387" t="s">
        <v>2473</v>
      </c>
    </row>
    <row r="388" spans="1:5" x14ac:dyDescent="0.25">
      <c r="A388" t="s">
        <v>1318</v>
      </c>
      <c r="B388">
        <v>4</v>
      </c>
      <c r="C388" t="s">
        <v>186</v>
      </c>
      <c r="D388" t="s">
        <v>2474</v>
      </c>
      <c r="E388" t="s">
        <v>2475</v>
      </c>
    </row>
    <row r="389" spans="1:5" x14ac:dyDescent="0.25">
      <c r="A389" t="s">
        <v>1346</v>
      </c>
      <c r="B389">
        <v>4</v>
      </c>
      <c r="C389" t="s">
        <v>186</v>
      </c>
      <c r="D389" t="s">
        <v>2476</v>
      </c>
      <c r="E389" t="s">
        <v>2477</v>
      </c>
    </row>
    <row r="390" spans="1:5" x14ac:dyDescent="0.25">
      <c r="A390" t="s">
        <v>1503</v>
      </c>
      <c r="B390">
        <v>4</v>
      </c>
      <c r="C390" t="s">
        <v>186</v>
      </c>
      <c r="D390" t="s">
        <v>2478</v>
      </c>
      <c r="E390" t="s">
        <v>2479</v>
      </c>
    </row>
    <row r="391" spans="1:5" x14ac:dyDescent="0.25">
      <c r="A391" t="s">
        <v>1246</v>
      </c>
      <c r="B391">
        <v>4</v>
      </c>
      <c r="C391" t="s">
        <v>186</v>
      </c>
      <c r="D391" t="s">
        <v>2480</v>
      </c>
      <c r="E391" t="s">
        <v>2481</v>
      </c>
    </row>
    <row r="392" spans="1:5" x14ac:dyDescent="0.25">
      <c r="A392" t="s">
        <v>1334</v>
      </c>
      <c r="B392">
        <v>4</v>
      </c>
      <c r="C392" t="s">
        <v>186</v>
      </c>
      <c r="D392" t="s">
        <v>2482</v>
      </c>
      <c r="E392" t="s">
        <v>2483</v>
      </c>
    </row>
    <row r="393" spans="1:5" x14ac:dyDescent="0.25">
      <c r="A393" t="s">
        <v>1535</v>
      </c>
      <c r="B393">
        <v>4</v>
      </c>
      <c r="C393" t="s">
        <v>186</v>
      </c>
      <c r="D393" t="s">
        <v>2484</v>
      </c>
      <c r="E393" t="s">
        <v>2485</v>
      </c>
    </row>
    <row r="394" spans="1:5" x14ac:dyDescent="0.25">
      <c r="A394" t="s">
        <v>2486</v>
      </c>
      <c r="B394">
        <v>3</v>
      </c>
      <c r="C394" t="s">
        <v>198</v>
      </c>
      <c r="D394" t="s">
        <v>2487</v>
      </c>
      <c r="E394" t="s">
        <v>2488</v>
      </c>
    </row>
    <row r="395" spans="1:5" x14ac:dyDescent="0.25">
      <c r="A395" t="s">
        <v>2489</v>
      </c>
      <c r="B395">
        <v>3</v>
      </c>
      <c r="C395" t="s">
        <v>198</v>
      </c>
      <c r="D395" t="s">
        <v>2490</v>
      </c>
      <c r="E395" t="s">
        <v>2491</v>
      </c>
    </row>
    <row r="396" spans="1:5" x14ac:dyDescent="0.25">
      <c r="A396" t="s">
        <v>2492</v>
      </c>
      <c r="B396">
        <v>3</v>
      </c>
      <c r="C396" t="s">
        <v>186</v>
      </c>
      <c r="D396" t="s">
        <v>2493</v>
      </c>
      <c r="E396" t="s">
        <v>2494</v>
      </c>
    </row>
    <row r="397" spans="1:5" x14ac:dyDescent="0.25">
      <c r="A397" t="s">
        <v>2495</v>
      </c>
      <c r="B397">
        <v>3</v>
      </c>
      <c r="C397" t="s">
        <v>198</v>
      </c>
      <c r="D397" t="s">
        <v>2496</v>
      </c>
      <c r="E397" t="s">
        <v>2497</v>
      </c>
    </row>
    <row r="398" spans="1:5" x14ac:dyDescent="0.25">
      <c r="A398" t="s">
        <v>2498</v>
      </c>
      <c r="B398">
        <v>3</v>
      </c>
      <c r="C398" t="s">
        <v>198</v>
      </c>
      <c r="D398" t="s">
        <v>2499</v>
      </c>
      <c r="E398" t="s">
        <v>2500</v>
      </c>
    </row>
    <row r="399" spans="1:5" x14ac:dyDescent="0.25">
      <c r="A399" t="s">
        <v>2501</v>
      </c>
      <c r="B399">
        <v>3</v>
      </c>
      <c r="C399" t="s">
        <v>186</v>
      </c>
      <c r="D399" t="s">
        <v>2502</v>
      </c>
      <c r="E399" t="s">
        <v>2503</v>
      </c>
    </row>
    <row r="400" spans="1:5" x14ac:dyDescent="0.25">
      <c r="A400" t="s">
        <v>357</v>
      </c>
      <c r="B400">
        <v>3</v>
      </c>
      <c r="C400" t="s">
        <v>198</v>
      </c>
      <c r="D400" t="s">
        <v>2504</v>
      </c>
      <c r="E400" t="s">
        <v>2505</v>
      </c>
    </row>
    <row r="401" spans="1:5" x14ac:dyDescent="0.25">
      <c r="A401" t="s">
        <v>336</v>
      </c>
      <c r="B401">
        <v>3</v>
      </c>
      <c r="C401" t="s">
        <v>198</v>
      </c>
      <c r="D401" t="s">
        <v>2506</v>
      </c>
      <c r="E401" t="s">
        <v>2507</v>
      </c>
    </row>
    <row r="402" spans="1:5" x14ac:dyDescent="0.25">
      <c r="A402" t="s">
        <v>348</v>
      </c>
      <c r="B402">
        <v>3</v>
      </c>
      <c r="C402" t="s">
        <v>198</v>
      </c>
      <c r="D402" t="s">
        <v>2508</v>
      </c>
      <c r="E402" t="s">
        <v>2509</v>
      </c>
    </row>
    <row r="403" spans="1:5" x14ac:dyDescent="0.25">
      <c r="A403" t="s">
        <v>2510</v>
      </c>
      <c r="B403">
        <v>3</v>
      </c>
      <c r="C403" t="s">
        <v>198</v>
      </c>
      <c r="D403" t="s">
        <v>2511</v>
      </c>
      <c r="E403" t="s">
        <v>2512</v>
      </c>
    </row>
    <row r="404" spans="1:5" x14ac:dyDescent="0.25">
      <c r="A404" t="s">
        <v>2513</v>
      </c>
      <c r="B404">
        <v>3</v>
      </c>
      <c r="C404" t="s">
        <v>198</v>
      </c>
      <c r="D404" t="s">
        <v>2514</v>
      </c>
      <c r="E404" t="s">
        <v>2515</v>
      </c>
    </row>
    <row r="405" spans="1:5" x14ac:dyDescent="0.25">
      <c r="A405" t="s">
        <v>2516</v>
      </c>
      <c r="B405">
        <v>3</v>
      </c>
      <c r="C405" t="s">
        <v>186</v>
      </c>
      <c r="D405" t="s">
        <v>2517</v>
      </c>
      <c r="E405" t="s">
        <v>2518</v>
      </c>
    </row>
    <row r="406" spans="1:5" x14ac:dyDescent="0.25">
      <c r="A406" t="s">
        <v>2519</v>
      </c>
      <c r="B406">
        <v>3</v>
      </c>
      <c r="C406" t="s">
        <v>198</v>
      </c>
      <c r="D406" t="s">
        <v>2520</v>
      </c>
      <c r="E406" t="s">
        <v>2521</v>
      </c>
    </row>
    <row r="407" spans="1:5" x14ac:dyDescent="0.25">
      <c r="A407" t="s">
        <v>2522</v>
      </c>
      <c r="B407">
        <v>3</v>
      </c>
      <c r="C407" t="s">
        <v>186</v>
      </c>
      <c r="D407" t="s">
        <v>2523</v>
      </c>
      <c r="E407" t="s">
        <v>2524</v>
      </c>
    </row>
    <row r="408" spans="1:5" x14ac:dyDescent="0.25">
      <c r="A408" t="s">
        <v>2525</v>
      </c>
      <c r="B408">
        <v>3</v>
      </c>
      <c r="C408" t="s">
        <v>186</v>
      </c>
      <c r="D408" t="s">
        <v>2526</v>
      </c>
      <c r="E408" t="s">
        <v>2527</v>
      </c>
    </row>
    <row r="409" spans="1:5" x14ac:dyDescent="0.25">
      <c r="A409" t="s">
        <v>340</v>
      </c>
      <c r="B409">
        <v>3</v>
      </c>
      <c r="C409" t="s">
        <v>198</v>
      </c>
      <c r="D409" t="s">
        <v>2528</v>
      </c>
      <c r="E409" t="s">
        <v>2529</v>
      </c>
    </row>
    <row r="410" spans="1:5" x14ac:dyDescent="0.25">
      <c r="A410" t="s">
        <v>2530</v>
      </c>
      <c r="B410">
        <v>3</v>
      </c>
      <c r="C410" t="s">
        <v>198</v>
      </c>
      <c r="D410" t="s">
        <v>2531</v>
      </c>
      <c r="E410" t="s">
        <v>2532</v>
      </c>
    </row>
    <row r="411" spans="1:5" x14ac:dyDescent="0.25">
      <c r="A411" t="s">
        <v>2533</v>
      </c>
      <c r="B411">
        <v>3</v>
      </c>
      <c r="C411" t="s">
        <v>186</v>
      </c>
      <c r="D411" t="s">
        <v>2534</v>
      </c>
      <c r="E411" t="s">
        <v>2535</v>
      </c>
    </row>
    <row r="412" spans="1:5" x14ac:dyDescent="0.25">
      <c r="A412" t="s">
        <v>2536</v>
      </c>
      <c r="B412">
        <v>3</v>
      </c>
      <c r="C412" t="s">
        <v>198</v>
      </c>
      <c r="D412" t="s">
        <v>2537</v>
      </c>
      <c r="E412" t="s">
        <v>2538</v>
      </c>
    </row>
    <row r="413" spans="1:5" x14ac:dyDescent="0.25">
      <c r="A413" t="s">
        <v>2539</v>
      </c>
      <c r="B413">
        <v>3</v>
      </c>
      <c r="C413" t="s">
        <v>186</v>
      </c>
      <c r="D413" t="s">
        <v>2540</v>
      </c>
      <c r="E413" t="s">
        <v>2541</v>
      </c>
    </row>
    <row r="414" spans="1:5" x14ac:dyDescent="0.25">
      <c r="A414" t="s">
        <v>346</v>
      </c>
      <c r="B414">
        <v>3</v>
      </c>
      <c r="C414" t="s">
        <v>186</v>
      </c>
      <c r="D414" t="s">
        <v>2542</v>
      </c>
      <c r="E414" t="s">
        <v>2543</v>
      </c>
    </row>
    <row r="415" spans="1:5" x14ac:dyDescent="0.25">
      <c r="A415" t="s">
        <v>2544</v>
      </c>
      <c r="B415">
        <v>3</v>
      </c>
      <c r="C415" t="s">
        <v>186</v>
      </c>
      <c r="D415" t="s">
        <v>2545</v>
      </c>
      <c r="E415" t="s">
        <v>2546</v>
      </c>
    </row>
    <row r="416" spans="1:5" x14ac:dyDescent="0.25">
      <c r="A416" t="s">
        <v>347</v>
      </c>
      <c r="B416">
        <v>3</v>
      </c>
      <c r="C416" t="s">
        <v>186</v>
      </c>
      <c r="D416" t="s">
        <v>2547</v>
      </c>
      <c r="E416" t="s">
        <v>2548</v>
      </c>
    </row>
    <row r="417" spans="1:5" x14ac:dyDescent="0.25">
      <c r="A417" t="s">
        <v>359</v>
      </c>
      <c r="B417">
        <v>3</v>
      </c>
      <c r="C417" t="s">
        <v>198</v>
      </c>
      <c r="D417" t="s">
        <v>2549</v>
      </c>
      <c r="E417" t="s">
        <v>2550</v>
      </c>
    </row>
    <row r="418" spans="1:5" x14ac:dyDescent="0.25">
      <c r="A418" t="s">
        <v>2551</v>
      </c>
      <c r="B418">
        <v>3</v>
      </c>
      <c r="C418" t="s">
        <v>198</v>
      </c>
      <c r="D418" t="s">
        <v>2552</v>
      </c>
      <c r="E418" t="s">
        <v>2553</v>
      </c>
    </row>
    <row r="419" spans="1:5" x14ac:dyDescent="0.25">
      <c r="A419" t="s">
        <v>370</v>
      </c>
      <c r="B419">
        <v>3</v>
      </c>
      <c r="C419" t="s">
        <v>198</v>
      </c>
      <c r="D419" t="s">
        <v>2554</v>
      </c>
      <c r="E419" t="s">
        <v>2555</v>
      </c>
    </row>
    <row r="420" spans="1:5" x14ac:dyDescent="0.25">
      <c r="A420" t="s">
        <v>2556</v>
      </c>
      <c r="B420">
        <v>3</v>
      </c>
      <c r="C420" t="s">
        <v>186</v>
      </c>
      <c r="D420" t="s">
        <v>2557</v>
      </c>
      <c r="E420" t="s">
        <v>2558</v>
      </c>
    </row>
    <row r="421" spans="1:5" x14ac:dyDescent="0.25">
      <c r="A421" t="s">
        <v>327</v>
      </c>
      <c r="B421">
        <v>3</v>
      </c>
      <c r="C421" t="s">
        <v>198</v>
      </c>
      <c r="D421" t="s">
        <v>2559</v>
      </c>
      <c r="E421" t="s">
        <v>2560</v>
      </c>
    </row>
    <row r="422" spans="1:5" x14ac:dyDescent="0.25">
      <c r="A422" t="s">
        <v>837</v>
      </c>
      <c r="B422">
        <v>3</v>
      </c>
      <c r="C422" t="s">
        <v>198</v>
      </c>
      <c r="D422" t="s">
        <v>2561</v>
      </c>
      <c r="E422" t="s">
        <v>2562</v>
      </c>
    </row>
    <row r="423" spans="1:5" x14ac:dyDescent="0.25">
      <c r="A423" t="s">
        <v>742</v>
      </c>
      <c r="B423">
        <v>3</v>
      </c>
      <c r="C423" t="s">
        <v>198</v>
      </c>
      <c r="D423" t="s">
        <v>2563</v>
      </c>
      <c r="E423" t="s">
        <v>2564</v>
      </c>
    </row>
    <row r="424" spans="1:5" x14ac:dyDescent="0.25">
      <c r="A424" t="s">
        <v>1007</v>
      </c>
      <c r="B424">
        <v>3</v>
      </c>
      <c r="C424" t="s">
        <v>198</v>
      </c>
      <c r="D424" t="s">
        <v>2565</v>
      </c>
      <c r="E424" t="s">
        <v>2566</v>
      </c>
    </row>
    <row r="425" spans="1:5" x14ac:dyDescent="0.25">
      <c r="A425" t="s">
        <v>674</v>
      </c>
      <c r="B425">
        <v>3</v>
      </c>
      <c r="C425" t="s">
        <v>198</v>
      </c>
      <c r="D425" t="s">
        <v>2567</v>
      </c>
      <c r="E425" t="s">
        <v>2568</v>
      </c>
    </row>
    <row r="426" spans="1:5" x14ac:dyDescent="0.25">
      <c r="A426" t="s">
        <v>1231</v>
      </c>
      <c r="B426">
        <v>3</v>
      </c>
      <c r="C426" t="s">
        <v>198</v>
      </c>
      <c r="D426" t="s">
        <v>2569</v>
      </c>
      <c r="E426" t="s">
        <v>2570</v>
      </c>
    </row>
    <row r="427" spans="1:5" x14ac:dyDescent="0.25">
      <c r="A427" t="s">
        <v>1205</v>
      </c>
      <c r="B427">
        <v>3</v>
      </c>
      <c r="C427" t="s">
        <v>198</v>
      </c>
      <c r="D427" t="s">
        <v>2571</v>
      </c>
      <c r="E427" t="s">
        <v>2572</v>
      </c>
    </row>
    <row r="428" spans="1:5" x14ac:dyDescent="0.25">
      <c r="A428" t="s">
        <v>1543</v>
      </c>
      <c r="B428">
        <v>3</v>
      </c>
      <c r="C428" t="s">
        <v>221</v>
      </c>
      <c r="D428" t="s">
        <v>2573</v>
      </c>
      <c r="E428" t="s">
        <v>2574</v>
      </c>
    </row>
    <row r="429" spans="1:5" x14ac:dyDescent="0.25">
      <c r="A429" t="s">
        <v>1293</v>
      </c>
      <c r="B429">
        <v>3</v>
      </c>
      <c r="C429" t="s">
        <v>186</v>
      </c>
      <c r="D429" t="s">
        <v>2575</v>
      </c>
      <c r="E429" t="s">
        <v>2576</v>
      </c>
    </row>
    <row r="430" spans="1:5" x14ac:dyDescent="0.25">
      <c r="A430" t="s">
        <v>1525</v>
      </c>
      <c r="B430">
        <v>3</v>
      </c>
      <c r="C430" t="s">
        <v>202</v>
      </c>
      <c r="D430" t="s">
        <v>2577</v>
      </c>
      <c r="E430" t="s">
        <v>2578</v>
      </c>
    </row>
    <row r="431" spans="1:5" x14ac:dyDescent="0.25">
      <c r="A431" t="s">
        <v>2579</v>
      </c>
      <c r="B431">
        <v>3</v>
      </c>
      <c r="C431" t="s">
        <v>198</v>
      </c>
      <c r="D431" t="s">
        <v>2580</v>
      </c>
      <c r="E431" t="s">
        <v>2581</v>
      </c>
    </row>
    <row r="432" spans="1:5" x14ac:dyDescent="0.25">
      <c r="A432" t="s">
        <v>1597</v>
      </c>
      <c r="B432">
        <v>3</v>
      </c>
      <c r="C432" t="s">
        <v>186</v>
      </c>
      <c r="D432" t="s">
        <v>2582</v>
      </c>
      <c r="E432" t="s">
        <v>2583</v>
      </c>
    </row>
    <row r="433" spans="1:5" x14ac:dyDescent="0.25">
      <c r="A433" t="s">
        <v>1276</v>
      </c>
      <c r="B433">
        <v>3</v>
      </c>
      <c r="C433" t="s">
        <v>221</v>
      </c>
      <c r="D433" t="s">
        <v>2584</v>
      </c>
      <c r="E433" t="s">
        <v>2585</v>
      </c>
    </row>
    <row r="434" spans="1:5" x14ac:dyDescent="0.25">
      <c r="A434" t="s">
        <v>1566</v>
      </c>
      <c r="B434">
        <v>3</v>
      </c>
      <c r="C434" t="s">
        <v>186</v>
      </c>
      <c r="D434" t="s">
        <v>2586</v>
      </c>
      <c r="E434" t="s">
        <v>2587</v>
      </c>
    </row>
    <row r="435" spans="1:5" x14ac:dyDescent="0.25">
      <c r="A435" t="s">
        <v>2588</v>
      </c>
      <c r="B435">
        <v>2</v>
      </c>
      <c r="C435" t="s">
        <v>198</v>
      </c>
      <c r="D435" t="s">
        <v>2589</v>
      </c>
      <c r="E435" t="s">
        <v>2590</v>
      </c>
    </row>
    <row r="436" spans="1:5" x14ac:dyDescent="0.25">
      <c r="A436" t="s">
        <v>2591</v>
      </c>
      <c r="B436">
        <v>2</v>
      </c>
      <c r="C436" t="s">
        <v>198</v>
      </c>
      <c r="D436" t="s">
        <v>2592</v>
      </c>
      <c r="E436" t="s">
        <v>2593</v>
      </c>
    </row>
    <row r="437" spans="1:5" x14ac:dyDescent="0.25">
      <c r="A437" t="s">
        <v>2594</v>
      </c>
      <c r="B437">
        <v>2</v>
      </c>
      <c r="C437" t="s">
        <v>186</v>
      </c>
      <c r="D437" t="s">
        <v>2595</v>
      </c>
      <c r="E437" t="s">
        <v>2596</v>
      </c>
    </row>
    <row r="438" spans="1:5" x14ac:dyDescent="0.25">
      <c r="A438" t="s">
        <v>2597</v>
      </c>
      <c r="B438">
        <v>2</v>
      </c>
      <c r="C438" t="s">
        <v>198</v>
      </c>
      <c r="D438" t="s">
        <v>2598</v>
      </c>
      <c r="E438" t="s">
        <v>2599</v>
      </c>
    </row>
    <row r="439" spans="1:5" x14ac:dyDescent="0.25">
      <c r="A439" t="s">
        <v>323</v>
      </c>
      <c r="B439">
        <v>2</v>
      </c>
      <c r="C439" t="s">
        <v>198</v>
      </c>
      <c r="D439" t="s">
        <v>2600</v>
      </c>
      <c r="E439" t="s">
        <v>2601</v>
      </c>
    </row>
    <row r="440" spans="1:5" x14ac:dyDescent="0.25">
      <c r="A440" t="s">
        <v>2602</v>
      </c>
      <c r="B440">
        <v>2</v>
      </c>
      <c r="C440" t="s">
        <v>198</v>
      </c>
      <c r="D440" t="s">
        <v>2603</v>
      </c>
      <c r="E440" t="s">
        <v>2604</v>
      </c>
    </row>
    <row r="441" spans="1:5" x14ac:dyDescent="0.25">
      <c r="A441" t="s">
        <v>2605</v>
      </c>
      <c r="B441">
        <v>2</v>
      </c>
      <c r="C441" t="s">
        <v>186</v>
      </c>
      <c r="D441" t="s">
        <v>2606</v>
      </c>
      <c r="E441" t="s">
        <v>2607</v>
      </c>
    </row>
    <row r="442" spans="1:5" x14ac:dyDescent="0.25">
      <c r="A442" t="s">
        <v>335</v>
      </c>
      <c r="B442">
        <v>2</v>
      </c>
      <c r="C442" t="s">
        <v>198</v>
      </c>
      <c r="D442" t="s">
        <v>2608</v>
      </c>
      <c r="E442" t="s">
        <v>2609</v>
      </c>
    </row>
    <row r="443" spans="1:5" x14ac:dyDescent="0.25">
      <c r="A443" t="s">
        <v>2610</v>
      </c>
      <c r="B443">
        <v>2</v>
      </c>
      <c r="C443" t="s">
        <v>186</v>
      </c>
      <c r="D443" t="s">
        <v>2611</v>
      </c>
      <c r="E443" t="s">
        <v>2612</v>
      </c>
    </row>
    <row r="444" spans="1:5" x14ac:dyDescent="0.25">
      <c r="A444" t="s">
        <v>2613</v>
      </c>
      <c r="B444">
        <v>2</v>
      </c>
      <c r="C444" t="s">
        <v>198</v>
      </c>
      <c r="D444" t="s">
        <v>2614</v>
      </c>
      <c r="E444" t="s">
        <v>2615</v>
      </c>
    </row>
    <row r="445" spans="1:5" x14ac:dyDescent="0.25">
      <c r="A445" t="s">
        <v>354</v>
      </c>
      <c r="B445">
        <v>2</v>
      </c>
      <c r="C445" t="s">
        <v>198</v>
      </c>
      <c r="D445" t="s">
        <v>2616</v>
      </c>
      <c r="E445" t="s">
        <v>2617</v>
      </c>
    </row>
    <row r="446" spans="1:5" x14ac:dyDescent="0.25">
      <c r="A446" t="s">
        <v>2618</v>
      </c>
      <c r="B446">
        <v>2</v>
      </c>
      <c r="C446" t="s">
        <v>221</v>
      </c>
      <c r="D446" t="s">
        <v>2619</v>
      </c>
      <c r="E446" t="s">
        <v>2620</v>
      </c>
    </row>
    <row r="447" spans="1:5" x14ac:dyDescent="0.25">
      <c r="A447" t="s">
        <v>2621</v>
      </c>
      <c r="B447">
        <v>2</v>
      </c>
      <c r="C447" t="s">
        <v>198</v>
      </c>
      <c r="D447" t="s">
        <v>2622</v>
      </c>
      <c r="E447" t="s">
        <v>2623</v>
      </c>
    </row>
    <row r="448" spans="1:5" x14ac:dyDescent="0.25">
      <c r="A448" t="s">
        <v>2624</v>
      </c>
      <c r="B448">
        <v>2</v>
      </c>
      <c r="C448" t="s">
        <v>198</v>
      </c>
      <c r="D448" t="s">
        <v>2625</v>
      </c>
      <c r="E448" t="s">
        <v>2626</v>
      </c>
    </row>
    <row r="449" spans="1:5" x14ac:dyDescent="0.25">
      <c r="A449" t="s">
        <v>2627</v>
      </c>
      <c r="B449">
        <v>2</v>
      </c>
      <c r="C449" t="s">
        <v>198</v>
      </c>
      <c r="D449" t="s">
        <v>2628</v>
      </c>
      <c r="E449" t="s">
        <v>2629</v>
      </c>
    </row>
    <row r="450" spans="1:5" x14ac:dyDescent="0.25">
      <c r="A450" t="s">
        <v>2630</v>
      </c>
      <c r="B450">
        <v>2</v>
      </c>
      <c r="C450" t="s">
        <v>198</v>
      </c>
      <c r="D450" t="s">
        <v>2631</v>
      </c>
      <c r="E450" t="s">
        <v>2632</v>
      </c>
    </row>
    <row r="451" spans="1:5" x14ac:dyDescent="0.25">
      <c r="A451" t="s">
        <v>842</v>
      </c>
      <c r="B451">
        <v>2</v>
      </c>
      <c r="C451" t="s">
        <v>198</v>
      </c>
      <c r="D451" t="s">
        <v>2633</v>
      </c>
      <c r="E451" t="s">
        <v>2634</v>
      </c>
    </row>
    <row r="452" spans="1:5" x14ac:dyDescent="0.25">
      <c r="A452" t="s">
        <v>734</v>
      </c>
      <c r="B452">
        <v>2</v>
      </c>
      <c r="C452" t="s">
        <v>198</v>
      </c>
      <c r="D452" t="s">
        <v>2635</v>
      </c>
      <c r="E452" t="s">
        <v>2636</v>
      </c>
    </row>
    <row r="453" spans="1:5" x14ac:dyDescent="0.25">
      <c r="A453" t="s">
        <v>689</v>
      </c>
      <c r="B453">
        <v>2</v>
      </c>
      <c r="C453" t="s">
        <v>198</v>
      </c>
      <c r="D453" t="s">
        <v>2637</v>
      </c>
      <c r="E453" t="s">
        <v>2638</v>
      </c>
    </row>
    <row r="454" spans="1:5" x14ac:dyDescent="0.25">
      <c r="A454" t="s">
        <v>547</v>
      </c>
      <c r="B454">
        <v>2</v>
      </c>
      <c r="C454" t="s">
        <v>198</v>
      </c>
      <c r="D454" t="s">
        <v>2639</v>
      </c>
      <c r="E454" t="s">
        <v>2640</v>
      </c>
    </row>
    <row r="455" spans="1:5" x14ac:dyDescent="0.25">
      <c r="A455" t="s">
        <v>647</v>
      </c>
      <c r="B455">
        <v>2</v>
      </c>
      <c r="C455" t="s">
        <v>198</v>
      </c>
      <c r="D455" t="s">
        <v>2641</v>
      </c>
      <c r="E455" t="s">
        <v>2642</v>
      </c>
    </row>
    <row r="456" spans="1:5" x14ac:dyDescent="0.25">
      <c r="A456" t="s">
        <v>793</v>
      </c>
      <c r="B456">
        <v>2</v>
      </c>
      <c r="C456" t="s">
        <v>198</v>
      </c>
      <c r="D456" t="s">
        <v>2643</v>
      </c>
      <c r="E456" t="s">
        <v>2644</v>
      </c>
    </row>
    <row r="457" spans="1:5" x14ac:dyDescent="0.25">
      <c r="A457" t="s">
        <v>2645</v>
      </c>
      <c r="B457">
        <v>2</v>
      </c>
      <c r="C457" t="s">
        <v>221</v>
      </c>
      <c r="D457" t="s">
        <v>2646</v>
      </c>
      <c r="E457" t="s">
        <v>2647</v>
      </c>
    </row>
    <row r="458" spans="1:5" x14ac:dyDescent="0.25">
      <c r="A458" t="s">
        <v>2648</v>
      </c>
      <c r="B458">
        <v>2</v>
      </c>
      <c r="C458" t="s">
        <v>198</v>
      </c>
      <c r="D458" t="s">
        <v>2649</v>
      </c>
      <c r="E458" t="s">
        <v>2650</v>
      </c>
    </row>
    <row r="459" spans="1:5" x14ac:dyDescent="0.25">
      <c r="A459" t="s">
        <v>2651</v>
      </c>
      <c r="B459">
        <v>2</v>
      </c>
      <c r="C459" t="s">
        <v>198</v>
      </c>
      <c r="D459" t="s">
        <v>2652</v>
      </c>
      <c r="E459" t="s">
        <v>2653</v>
      </c>
    </row>
    <row r="460" spans="1:5" x14ac:dyDescent="0.25">
      <c r="A460" t="s">
        <v>1109</v>
      </c>
      <c r="B460">
        <v>2</v>
      </c>
      <c r="C460" t="s">
        <v>198</v>
      </c>
      <c r="D460" t="s">
        <v>2654</v>
      </c>
      <c r="E460" t="s">
        <v>2655</v>
      </c>
    </row>
    <row r="461" spans="1:5" x14ac:dyDescent="0.25">
      <c r="A461" t="s">
        <v>1471</v>
      </c>
      <c r="B461">
        <v>2</v>
      </c>
      <c r="C461" t="s">
        <v>198</v>
      </c>
      <c r="D461" t="s">
        <v>2656</v>
      </c>
      <c r="E461" t="s">
        <v>2657</v>
      </c>
    </row>
    <row r="462" spans="1:5" x14ac:dyDescent="0.25">
      <c r="A462" t="s">
        <v>1106</v>
      </c>
      <c r="B462">
        <v>2</v>
      </c>
      <c r="C462" t="s">
        <v>198</v>
      </c>
      <c r="D462" t="s">
        <v>2658</v>
      </c>
      <c r="E462" t="s">
        <v>2659</v>
      </c>
    </row>
    <row r="463" spans="1:5" x14ac:dyDescent="0.25">
      <c r="A463" t="s">
        <v>1237</v>
      </c>
      <c r="B463">
        <v>2</v>
      </c>
      <c r="C463" t="s">
        <v>198</v>
      </c>
      <c r="D463" t="s">
        <v>2660</v>
      </c>
      <c r="E463" t="s">
        <v>2661</v>
      </c>
    </row>
    <row r="464" spans="1:5" x14ac:dyDescent="0.25">
      <c r="A464" t="s">
        <v>2662</v>
      </c>
      <c r="B464">
        <v>2</v>
      </c>
      <c r="C464" t="s">
        <v>198</v>
      </c>
      <c r="D464" t="s">
        <v>2663</v>
      </c>
      <c r="E464" t="s">
        <v>2664</v>
      </c>
    </row>
    <row r="465" spans="1:5" x14ac:dyDescent="0.25">
      <c r="A465" t="s">
        <v>763</v>
      </c>
      <c r="B465">
        <v>2</v>
      </c>
      <c r="C465" t="s">
        <v>198</v>
      </c>
      <c r="D465" t="s">
        <v>2665</v>
      </c>
      <c r="E465" t="s">
        <v>2666</v>
      </c>
    </row>
    <row r="466" spans="1:5" x14ac:dyDescent="0.25">
      <c r="A466" t="s">
        <v>1271</v>
      </c>
      <c r="B466">
        <v>2</v>
      </c>
      <c r="C466" t="s">
        <v>198</v>
      </c>
      <c r="D466" t="s">
        <v>2667</v>
      </c>
      <c r="E466" t="s">
        <v>2668</v>
      </c>
    </row>
    <row r="467" spans="1:5" x14ac:dyDescent="0.25">
      <c r="A467" t="s">
        <v>2669</v>
      </c>
      <c r="B467">
        <v>2</v>
      </c>
      <c r="C467" t="s">
        <v>198</v>
      </c>
      <c r="D467" t="s">
        <v>2670</v>
      </c>
      <c r="E467" t="s">
        <v>2671</v>
      </c>
    </row>
    <row r="468" spans="1:5" x14ac:dyDescent="0.25">
      <c r="A468" t="s">
        <v>1526</v>
      </c>
      <c r="B468">
        <v>2</v>
      </c>
      <c r="C468" t="s">
        <v>198</v>
      </c>
      <c r="D468" t="s">
        <v>2672</v>
      </c>
      <c r="E468" t="s">
        <v>2673</v>
      </c>
    </row>
    <row r="469" spans="1:5" x14ac:dyDescent="0.25">
      <c r="A469" t="s">
        <v>2674</v>
      </c>
      <c r="B469">
        <v>2</v>
      </c>
      <c r="C469" t="s">
        <v>198</v>
      </c>
      <c r="D469" t="s">
        <v>2675</v>
      </c>
      <c r="E469" t="s">
        <v>2676</v>
      </c>
    </row>
    <row r="470" spans="1:5" x14ac:dyDescent="0.25">
      <c r="A470" t="s">
        <v>1296</v>
      </c>
      <c r="B470">
        <v>2</v>
      </c>
      <c r="C470" t="s">
        <v>198</v>
      </c>
      <c r="D470" t="s">
        <v>2677</v>
      </c>
      <c r="E470" t="s">
        <v>2678</v>
      </c>
    </row>
    <row r="471" spans="1:5" x14ac:dyDescent="0.25">
      <c r="A471" t="s">
        <v>909</v>
      </c>
      <c r="B471">
        <v>2</v>
      </c>
      <c r="C471" t="s">
        <v>198</v>
      </c>
      <c r="D471" t="s">
        <v>2679</v>
      </c>
      <c r="E471" t="s">
        <v>2680</v>
      </c>
    </row>
    <row r="472" spans="1:5" x14ac:dyDescent="0.25">
      <c r="A472" t="s">
        <v>1312</v>
      </c>
      <c r="B472">
        <v>2</v>
      </c>
      <c r="C472" t="s">
        <v>186</v>
      </c>
      <c r="D472" t="s">
        <v>2681</v>
      </c>
      <c r="E472" t="s">
        <v>2682</v>
      </c>
    </row>
    <row r="473" spans="1:5" x14ac:dyDescent="0.25">
      <c r="A473" t="s">
        <v>1620</v>
      </c>
      <c r="B473">
        <v>2</v>
      </c>
      <c r="C473" t="s">
        <v>186</v>
      </c>
      <c r="D473" t="s">
        <v>2683</v>
      </c>
      <c r="E473" t="s">
        <v>2684</v>
      </c>
    </row>
    <row r="474" spans="1:5" x14ac:dyDescent="0.25">
      <c r="A474" t="s">
        <v>1252</v>
      </c>
      <c r="B474">
        <v>2</v>
      </c>
      <c r="C474" t="s">
        <v>198</v>
      </c>
      <c r="D474" t="s">
        <v>2685</v>
      </c>
      <c r="E474" t="s">
        <v>2686</v>
      </c>
    </row>
    <row r="475" spans="1:5" x14ac:dyDescent="0.25">
      <c r="A475" t="s">
        <v>1515</v>
      </c>
      <c r="B475">
        <v>2</v>
      </c>
      <c r="C475" t="s">
        <v>186</v>
      </c>
      <c r="D475" t="s">
        <v>2687</v>
      </c>
      <c r="E475" t="s">
        <v>2688</v>
      </c>
    </row>
    <row r="476" spans="1:5" x14ac:dyDescent="0.25">
      <c r="A476" t="s">
        <v>1578</v>
      </c>
      <c r="B476">
        <v>2</v>
      </c>
      <c r="C476" t="s">
        <v>186</v>
      </c>
      <c r="D476" t="s">
        <v>2689</v>
      </c>
      <c r="E476" t="s">
        <v>2690</v>
      </c>
    </row>
    <row r="477" spans="1:5" x14ac:dyDescent="0.25">
      <c r="A477" t="s">
        <v>1589</v>
      </c>
      <c r="B477">
        <v>2</v>
      </c>
      <c r="C477" t="s">
        <v>186</v>
      </c>
      <c r="D477" t="s">
        <v>2691</v>
      </c>
      <c r="E477" t="s">
        <v>2692</v>
      </c>
    </row>
    <row r="478" spans="1:5" x14ac:dyDescent="0.25">
      <c r="A478" t="s">
        <v>1604</v>
      </c>
      <c r="B478">
        <v>2</v>
      </c>
      <c r="C478" t="s">
        <v>198</v>
      </c>
      <c r="D478" t="s">
        <v>2693</v>
      </c>
      <c r="E478" t="s">
        <v>2694</v>
      </c>
    </row>
    <row r="479" spans="1:5" x14ac:dyDescent="0.25">
      <c r="A479" t="s">
        <v>2695</v>
      </c>
      <c r="B479">
        <v>1</v>
      </c>
      <c r="C479" t="s">
        <v>186</v>
      </c>
      <c r="D479" t="s">
        <v>2696</v>
      </c>
      <c r="E479" t="s">
        <v>2696</v>
      </c>
    </row>
    <row r="480" spans="1:5" x14ac:dyDescent="0.25">
      <c r="A480" t="s">
        <v>2697</v>
      </c>
      <c r="B480">
        <v>1</v>
      </c>
      <c r="C480" t="s">
        <v>198</v>
      </c>
      <c r="D480" t="s">
        <v>2698</v>
      </c>
      <c r="E480" t="s">
        <v>2698</v>
      </c>
    </row>
    <row r="481" spans="1:5" x14ac:dyDescent="0.25">
      <c r="A481" t="s">
        <v>2699</v>
      </c>
      <c r="B481">
        <v>1</v>
      </c>
      <c r="C481" t="s">
        <v>198</v>
      </c>
      <c r="D481" t="s">
        <v>2700</v>
      </c>
      <c r="E481" t="s">
        <v>2700</v>
      </c>
    </row>
    <row r="482" spans="1:5" x14ac:dyDescent="0.25">
      <c r="A482" t="s">
        <v>2701</v>
      </c>
      <c r="B482">
        <v>1</v>
      </c>
      <c r="C482" t="s">
        <v>186</v>
      </c>
      <c r="D482" t="s">
        <v>2702</v>
      </c>
      <c r="E482" t="s">
        <v>2702</v>
      </c>
    </row>
    <row r="483" spans="1:5" x14ac:dyDescent="0.25">
      <c r="A483" t="s">
        <v>2703</v>
      </c>
      <c r="B483">
        <v>1</v>
      </c>
      <c r="C483" t="s">
        <v>186</v>
      </c>
      <c r="D483" t="s">
        <v>2704</v>
      </c>
      <c r="E483" t="s">
        <v>2704</v>
      </c>
    </row>
    <row r="484" spans="1:5" x14ac:dyDescent="0.25">
      <c r="A484" t="s">
        <v>2705</v>
      </c>
      <c r="B484">
        <v>1</v>
      </c>
      <c r="C484" t="s">
        <v>186</v>
      </c>
      <c r="D484" t="s">
        <v>2706</v>
      </c>
      <c r="E484" t="s">
        <v>2706</v>
      </c>
    </row>
    <row r="485" spans="1:5" x14ac:dyDescent="0.25">
      <c r="A485" t="s">
        <v>2707</v>
      </c>
      <c r="B485">
        <v>1</v>
      </c>
      <c r="C485" t="s">
        <v>186</v>
      </c>
      <c r="D485" t="s">
        <v>2708</v>
      </c>
      <c r="E485" t="s">
        <v>2708</v>
      </c>
    </row>
    <row r="486" spans="1:5" x14ac:dyDescent="0.25">
      <c r="A486" t="s">
        <v>2709</v>
      </c>
      <c r="B486">
        <v>1</v>
      </c>
      <c r="C486" t="s">
        <v>198</v>
      </c>
      <c r="D486" t="s">
        <v>2710</v>
      </c>
      <c r="E486" t="s">
        <v>2710</v>
      </c>
    </row>
    <row r="487" spans="1:5" x14ac:dyDescent="0.25">
      <c r="A487" t="s">
        <v>2711</v>
      </c>
      <c r="B487">
        <v>1</v>
      </c>
      <c r="C487" t="s">
        <v>186</v>
      </c>
      <c r="D487" t="s">
        <v>2712</v>
      </c>
      <c r="E487" t="s">
        <v>2712</v>
      </c>
    </row>
    <row r="488" spans="1:5" x14ac:dyDescent="0.25">
      <c r="A488" t="s">
        <v>2713</v>
      </c>
      <c r="B488">
        <v>1</v>
      </c>
      <c r="C488" t="s">
        <v>198</v>
      </c>
      <c r="D488" t="s">
        <v>2714</v>
      </c>
      <c r="E488" t="s">
        <v>2714</v>
      </c>
    </row>
    <row r="489" spans="1:5" x14ac:dyDescent="0.25">
      <c r="A489" t="s">
        <v>2715</v>
      </c>
      <c r="B489">
        <v>1</v>
      </c>
      <c r="C489" t="s">
        <v>186</v>
      </c>
      <c r="D489" t="s">
        <v>2716</v>
      </c>
      <c r="E489" t="s">
        <v>2716</v>
      </c>
    </row>
    <row r="490" spans="1:5" x14ac:dyDescent="0.25">
      <c r="A490" t="s">
        <v>2717</v>
      </c>
      <c r="B490">
        <v>1</v>
      </c>
      <c r="C490" t="s">
        <v>198</v>
      </c>
      <c r="D490" t="s">
        <v>2718</v>
      </c>
      <c r="E490" t="s">
        <v>2718</v>
      </c>
    </row>
    <row r="491" spans="1:5" x14ac:dyDescent="0.25">
      <c r="A491" t="s">
        <v>2719</v>
      </c>
      <c r="B491">
        <v>1</v>
      </c>
      <c r="C491" t="s">
        <v>198</v>
      </c>
      <c r="D491" t="s">
        <v>2720</v>
      </c>
      <c r="E491" t="s">
        <v>2720</v>
      </c>
    </row>
    <row r="492" spans="1:5" x14ac:dyDescent="0.25">
      <c r="A492" t="s">
        <v>2721</v>
      </c>
      <c r="B492">
        <v>1</v>
      </c>
      <c r="C492" t="s">
        <v>198</v>
      </c>
      <c r="D492" t="s">
        <v>2722</v>
      </c>
      <c r="E492" t="s">
        <v>2722</v>
      </c>
    </row>
    <row r="493" spans="1:5" x14ac:dyDescent="0.25">
      <c r="A493" t="s">
        <v>2723</v>
      </c>
      <c r="B493">
        <v>1</v>
      </c>
      <c r="C493" t="s">
        <v>198</v>
      </c>
      <c r="D493" t="s">
        <v>2724</v>
      </c>
      <c r="E493" t="s">
        <v>2724</v>
      </c>
    </row>
    <row r="494" spans="1:5" x14ac:dyDescent="0.25">
      <c r="A494" t="s">
        <v>2725</v>
      </c>
      <c r="B494">
        <v>1</v>
      </c>
      <c r="C494" t="s">
        <v>198</v>
      </c>
      <c r="D494" t="s">
        <v>2726</v>
      </c>
      <c r="E494" t="s">
        <v>2726</v>
      </c>
    </row>
    <row r="495" spans="1:5" x14ac:dyDescent="0.25">
      <c r="A495" t="s">
        <v>2727</v>
      </c>
      <c r="B495">
        <v>1</v>
      </c>
      <c r="C495" t="s">
        <v>198</v>
      </c>
      <c r="D495" t="s">
        <v>2728</v>
      </c>
      <c r="E495" t="s">
        <v>2728</v>
      </c>
    </row>
    <row r="496" spans="1:5" x14ac:dyDescent="0.25">
      <c r="A496" t="s">
        <v>353</v>
      </c>
      <c r="B496">
        <v>1</v>
      </c>
      <c r="C496" t="s">
        <v>198</v>
      </c>
      <c r="D496" t="s">
        <v>2729</v>
      </c>
      <c r="E496" t="s">
        <v>2729</v>
      </c>
    </row>
    <row r="497" spans="1:5" x14ac:dyDescent="0.25">
      <c r="A497" t="s">
        <v>361</v>
      </c>
      <c r="B497">
        <v>1</v>
      </c>
      <c r="C497" t="s">
        <v>198</v>
      </c>
      <c r="D497" t="s">
        <v>2730</v>
      </c>
      <c r="E497" t="s">
        <v>2730</v>
      </c>
    </row>
    <row r="498" spans="1:5" x14ac:dyDescent="0.25">
      <c r="A498" t="s">
        <v>2731</v>
      </c>
      <c r="B498">
        <v>1</v>
      </c>
      <c r="C498" t="s">
        <v>186</v>
      </c>
      <c r="D498" t="s">
        <v>2732</v>
      </c>
      <c r="E498" t="s">
        <v>2732</v>
      </c>
    </row>
    <row r="499" spans="1:5" x14ac:dyDescent="0.25">
      <c r="A499" t="s">
        <v>2733</v>
      </c>
      <c r="B499">
        <v>1</v>
      </c>
      <c r="C499" t="s">
        <v>198</v>
      </c>
      <c r="D499" t="s">
        <v>2734</v>
      </c>
      <c r="E499" t="s">
        <v>2734</v>
      </c>
    </row>
    <row r="500" spans="1:5" x14ac:dyDescent="0.25">
      <c r="A500" t="s">
        <v>2735</v>
      </c>
      <c r="B500">
        <v>1</v>
      </c>
      <c r="C500" t="s">
        <v>198</v>
      </c>
      <c r="D500" t="s">
        <v>2736</v>
      </c>
      <c r="E500" t="s">
        <v>2736</v>
      </c>
    </row>
    <row r="501" spans="1:5" x14ac:dyDescent="0.25">
      <c r="A501" t="s">
        <v>2737</v>
      </c>
      <c r="B501">
        <v>1</v>
      </c>
      <c r="C501" t="s">
        <v>186</v>
      </c>
      <c r="D501" t="s">
        <v>2738</v>
      </c>
      <c r="E501" t="s">
        <v>2738</v>
      </c>
    </row>
    <row r="502" spans="1:5" x14ac:dyDescent="0.25">
      <c r="A502" t="s">
        <v>2739</v>
      </c>
      <c r="B502">
        <v>1</v>
      </c>
      <c r="C502" t="s">
        <v>198</v>
      </c>
      <c r="D502" t="s">
        <v>2740</v>
      </c>
      <c r="E502" t="s">
        <v>2740</v>
      </c>
    </row>
    <row r="503" spans="1:5" x14ac:dyDescent="0.25">
      <c r="A503" t="s">
        <v>333</v>
      </c>
      <c r="B503">
        <v>1</v>
      </c>
      <c r="C503" t="s">
        <v>198</v>
      </c>
      <c r="D503" t="s">
        <v>2741</v>
      </c>
      <c r="E503" t="s">
        <v>2741</v>
      </c>
    </row>
    <row r="504" spans="1:5" x14ac:dyDescent="0.25">
      <c r="A504" t="s">
        <v>2742</v>
      </c>
      <c r="B504">
        <v>1</v>
      </c>
      <c r="C504" t="s">
        <v>198</v>
      </c>
      <c r="D504" t="s">
        <v>2743</v>
      </c>
      <c r="E504" t="s">
        <v>2743</v>
      </c>
    </row>
    <row r="505" spans="1:5" x14ac:dyDescent="0.25">
      <c r="A505" t="s">
        <v>338</v>
      </c>
      <c r="B505">
        <v>1</v>
      </c>
      <c r="C505" t="s">
        <v>198</v>
      </c>
      <c r="D505" t="s">
        <v>2744</v>
      </c>
      <c r="E505" t="s">
        <v>2744</v>
      </c>
    </row>
    <row r="506" spans="1:5" x14ac:dyDescent="0.25">
      <c r="A506" t="s">
        <v>2745</v>
      </c>
      <c r="B506">
        <v>1</v>
      </c>
      <c r="C506" t="s">
        <v>198</v>
      </c>
      <c r="D506" t="s">
        <v>2746</v>
      </c>
      <c r="E506" t="s">
        <v>2746</v>
      </c>
    </row>
    <row r="507" spans="1:5" x14ac:dyDescent="0.25">
      <c r="A507" t="s">
        <v>313</v>
      </c>
      <c r="B507">
        <v>1</v>
      </c>
      <c r="C507" t="s">
        <v>198</v>
      </c>
      <c r="D507" t="s">
        <v>2747</v>
      </c>
      <c r="E507" t="s">
        <v>2747</v>
      </c>
    </row>
    <row r="508" spans="1:5" x14ac:dyDescent="0.25">
      <c r="A508" t="s">
        <v>2748</v>
      </c>
      <c r="B508">
        <v>1</v>
      </c>
      <c r="C508" t="s">
        <v>186</v>
      </c>
      <c r="D508" t="s">
        <v>2749</v>
      </c>
      <c r="E508" t="s">
        <v>2749</v>
      </c>
    </row>
    <row r="509" spans="1:5" x14ac:dyDescent="0.25">
      <c r="A509" t="s">
        <v>356</v>
      </c>
      <c r="B509">
        <v>1</v>
      </c>
      <c r="C509" t="s">
        <v>198</v>
      </c>
      <c r="D509" t="s">
        <v>2750</v>
      </c>
      <c r="E509" t="s">
        <v>2750</v>
      </c>
    </row>
    <row r="510" spans="1:5" x14ac:dyDescent="0.25">
      <c r="A510" t="s">
        <v>2751</v>
      </c>
      <c r="B510">
        <v>1</v>
      </c>
      <c r="C510" t="s">
        <v>198</v>
      </c>
      <c r="D510" t="s">
        <v>2752</v>
      </c>
      <c r="E510" t="s">
        <v>2752</v>
      </c>
    </row>
    <row r="511" spans="1:5" x14ac:dyDescent="0.25">
      <c r="A511" t="s">
        <v>2753</v>
      </c>
      <c r="B511">
        <v>1</v>
      </c>
      <c r="C511" t="s">
        <v>198</v>
      </c>
      <c r="D511" t="s">
        <v>2754</v>
      </c>
      <c r="E511" t="s">
        <v>2754</v>
      </c>
    </row>
    <row r="512" spans="1:5" x14ac:dyDescent="0.25">
      <c r="A512" t="s">
        <v>636</v>
      </c>
      <c r="B512">
        <v>1</v>
      </c>
      <c r="C512" t="s">
        <v>198</v>
      </c>
      <c r="D512" t="s">
        <v>2755</v>
      </c>
      <c r="E512" t="s">
        <v>2755</v>
      </c>
    </row>
    <row r="513" spans="1:5" x14ac:dyDescent="0.25">
      <c r="A513" t="s">
        <v>570</v>
      </c>
      <c r="B513">
        <v>1</v>
      </c>
      <c r="C513" t="s">
        <v>198</v>
      </c>
      <c r="D513" t="s">
        <v>2756</v>
      </c>
      <c r="E513" t="s">
        <v>2756</v>
      </c>
    </row>
    <row r="514" spans="1:5" x14ac:dyDescent="0.25">
      <c r="A514" t="s">
        <v>1038</v>
      </c>
      <c r="B514">
        <v>1</v>
      </c>
      <c r="C514" t="s">
        <v>198</v>
      </c>
      <c r="D514" t="s">
        <v>2757</v>
      </c>
      <c r="E514" t="s">
        <v>2757</v>
      </c>
    </row>
    <row r="515" spans="1:5" x14ac:dyDescent="0.25">
      <c r="A515" t="s">
        <v>1003</v>
      </c>
      <c r="B515">
        <v>1</v>
      </c>
      <c r="C515" t="s">
        <v>198</v>
      </c>
      <c r="D515" t="s">
        <v>2758</v>
      </c>
      <c r="E515" t="s">
        <v>2758</v>
      </c>
    </row>
    <row r="516" spans="1:5" x14ac:dyDescent="0.25">
      <c r="A516" t="s">
        <v>1026</v>
      </c>
      <c r="B516">
        <v>1</v>
      </c>
      <c r="C516" t="s">
        <v>198</v>
      </c>
      <c r="D516" t="s">
        <v>2759</v>
      </c>
      <c r="E516" t="s">
        <v>2759</v>
      </c>
    </row>
    <row r="517" spans="1:5" x14ac:dyDescent="0.25">
      <c r="A517" t="s">
        <v>341</v>
      </c>
      <c r="B517">
        <v>1</v>
      </c>
      <c r="C517" t="s">
        <v>198</v>
      </c>
      <c r="D517" t="s">
        <v>2760</v>
      </c>
      <c r="E517" t="s">
        <v>2760</v>
      </c>
    </row>
    <row r="518" spans="1:5" x14ac:dyDescent="0.25">
      <c r="A518" t="s">
        <v>2761</v>
      </c>
      <c r="B518">
        <v>1</v>
      </c>
      <c r="C518" t="s">
        <v>198</v>
      </c>
      <c r="D518" t="s">
        <v>2762</v>
      </c>
      <c r="E518" t="s">
        <v>2762</v>
      </c>
    </row>
    <row r="519" spans="1:5" x14ac:dyDescent="0.25">
      <c r="A519" t="s">
        <v>2763</v>
      </c>
      <c r="B519">
        <v>1</v>
      </c>
      <c r="C519" t="s">
        <v>198</v>
      </c>
      <c r="D519" t="s">
        <v>2764</v>
      </c>
      <c r="E519" t="s">
        <v>2764</v>
      </c>
    </row>
    <row r="520" spans="1:5" x14ac:dyDescent="0.25">
      <c r="A520" t="s">
        <v>1097</v>
      </c>
      <c r="B520">
        <v>1</v>
      </c>
      <c r="C520" t="s">
        <v>198</v>
      </c>
      <c r="D520" t="s">
        <v>2765</v>
      </c>
      <c r="E520" t="s">
        <v>2765</v>
      </c>
    </row>
    <row r="521" spans="1:5" x14ac:dyDescent="0.25">
      <c r="A521" t="s">
        <v>2766</v>
      </c>
      <c r="B521">
        <v>1</v>
      </c>
      <c r="C521" t="s">
        <v>198</v>
      </c>
      <c r="D521" t="s">
        <v>2767</v>
      </c>
      <c r="E521" t="s">
        <v>2767</v>
      </c>
    </row>
    <row r="522" spans="1:5" x14ac:dyDescent="0.25">
      <c r="A522" t="s">
        <v>2768</v>
      </c>
      <c r="B522">
        <v>1</v>
      </c>
      <c r="C522" t="s">
        <v>198</v>
      </c>
      <c r="D522" t="s">
        <v>2769</v>
      </c>
      <c r="E522" t="s">
        <v>2769</v>
      </c>
    </row>
    <row r="523" spans="1:5" x14ac:dyDescent="0.25">
      <c r="A523" t="s">
        <v>2770</v>
      </c>
      <c r="B523">
        <v>1</v>
      </c>
      <c r="C523" t="s">
        <v>198</v>
      </c>
      <c r="D523" t="s">
        <v>2771</v>
      </c>
      <c r="E523" t="s">
        <v>2771</v>
      </c>
    </row>
    <row r="524" spans="1:5" x14ac:dyDescent="0.25">
      <c r="A524" t="s">
        <v>2772</v>
      </c>
      <c r="B524">
        <v>1</v>
      </c>
      <c r="C524" t="s">
        <v>198</v>
      </c>
      <c r="D524" t="s">
        <v>2773</v>
      </c>
      <c r="E524" t="s">
        <v>2773</v>
      </c>
    </row>
    <row r="525" spans="1:5" x14ac:dyDescent="0.25">
      <c r="A525" t="s">
        <v>2774</v>
      </c>
      <c r="B525">
        <v>1</v>
      </c>
      <c r="C525" t="s">
        <v>198</v>
      </c>
      <c r="D525" t="s">
        <v>2775</v>
      </c>
      <c r="E525" t="s">
        <v>2775</v>
      </c>
    </row>
    <row r="526" spans="1:5" x14ac:dyDescent="0.25">
      <c r="A526" t="s">
        <v>2776</v>
      </c>
      <c r="B526">
        <v>1</v>
      </c>
      <c r="C526" t="s">
        <v>198</v>
      </c>
      <c r="D526" t="s">
        <v>2777</v>
      </c>
      <c r="E526" t="s">
        <v>2777</v>
      </c>
    </row>
    <row r="527" spans="1:5" x14ac:dyDescent="0.25">
      <c r="A527" t="s">
        <v>2778</v>
      </c>
      <c r="B527">
        <v>1</v>
      </c>
      <c r="C527" t="s">
        <v>198</v>
      </c>
      <c r="D527" t="s">
        <v>2779</v>
      </c>
      <c r="E527" t="s">
        <v>2779</v>
      </c>
    </row>
    <row r="528" spans="1:5" x14ac:dyDescent="0.25">
      <c r="A528" t="s">
        <v>1184</v>
      </c>
      <c r="B528">
        <v>1</v>
      </c>
      <c r="C528" t="s">
        <v>198</v>
      </c>
      <c r="D528" t="s">
        <v>2780</v>
      </c>
      <c r="E528" t="s">
        <v>2780</v>
      </c>
    </row>
    <row r="529" spans="1:5" x14ac:dyDescent="0.25">
      <c r="A529" t="s">
        <v>1386</v>
      </c>
      <c r="B529">
        <v>1</v>
      </c>
      <c r="C529" t="s">
        <v>198</v>
      </c>
      <c r="D529" t="s">
        <v>2781</v>
      </c>
      <c r="E529" t="s">
        <v>2781</v>
      </c>
    </row>
    <row r="530" spans="1:5" x14ac:dyDescent="0.25">
      <c r="A530" t="s">
        <v>2782</v>
      </c>
      <c r="B530">
        <v>1</v>
      </c>
      <c r="C530" t="s">
        <v>198</v>
      </c>
      <c r="D530" t="s">
        <v>2783</v>
      </c>
      <c r="E530" t="s">
        <v>2783</v>
      </c>
    </row>
    <row r="531" spans="1:5" x14ac:dyDescent="0.25">
      <c r="A531" t="s">
        <v>576</v>
      </c>
      <c r="B531">
        <v>1</v>
      </c>
      <c r="C531" t="s">
        <v>198</v>
      </c>
      <c r="D531" t="s">
        <v>2784</v>
      </c>
      <c r="E531" t="s">
        <v>2784</v>
      </c>
    </row>
    <row r="532" spans="1:5" x14ac:dyDescent="0.25">
      <c r="A532" t="s">
        <v>2785</v>
      </c>
      <c r="B532">
        <v>1</v>
      </c>
      <c r="C532" t="s">
        <v>186</v>
      </c>
      <c r="D532" t="s">
        <v>2786</v>
      </c>
      <c r="E532" t="s">
        <v>2786</v>
      </c>
    </row>
    <row r="533" spans="1:5" x14ac:dyDescent="0.25">
      <c r="A533" t="s">
        <v>2787</v>
      </c>
      <c r="B533">
        <v>1</v>
      </c>
      <c r="C533" t="s">
        <v>198</v>
      </c>
      <c r="D533" t="s">
        <v>2788</v>
      </c>
      <c r="E533" t="s">
        <v>2788</v>
      </c>
    </row>
    <row r="534" spans="1:5" x14ac:dyDescent="0.25">
      <c r="A534" t="s">
        <v>2789</v>
      </c>
      <c r="B534">
        <v>1</v>
      </c>
      <c r="C534" t="s">
        <v>198</v>
      </c>
      <c r="D534" t="s">
        <v>2790</v>
      </c>
      <c r="E534" t="s">
        <v>2790</v>
      </c>
    </row>
    <row r="535" spans="1:5" x14ac:dyDescent="0.25">
      <c r="A535" t="s">
        <v>2791</v>
      </c>
      <c r="B535">
        <v>1</v>
      </c>
      <c r="C535" t="s">
        <v>198</v>
      </c>
      <c r="D535" t="s">
        <v>2792</v>
      </c>
      <c r="E535" t="s">
        <v>2792</v>
      </c>
    </row>
    <row r="536" spans="1:5" x14ac:dyDescent="0.25">
      <c r="A536" t="s">
        <v>2793</v>
      </c>
      <c r="B536">
        <v>1</v>
      </c>
      <c r="C536" t="s">
        <v>198</v>
      </c>
      <c r="D536" t="s">
        <v>2794</v>
      </c>
      <c r="E536" t="s">
        <v>2794</v>
      </c>
    </row>
    <row r="537" spans="1:5" x14ac:dyDescent="0.25">
      <c r="A537" t="s">
        <v>2795</v>
      </c>
      <c r="B537">
        <v>1</v>
      </c>
      <c r="C537" t="s">
        <v>198</v>
      </c>
      <c r="D537" t="s">
        <v>2796</v>
      </c>
      <c r="E537" t="s">
        <v>2796</v>
      </c>
    </row>
    <row r="538" spans="1:5" x14ac:dyDescent="0.25">
      <c r="A538" t="s">
        <v>1306</v>
      </c>
      <c r="B538">
        <v>1</v>
      </c>
      <c r="C538" t="s">
        <v>198</v>
      </c>
      <c r="D538" t="s">
        <v>2797</v>
      </c>
      <c r="E538" t="s">
        <v>2797</v>
      </c>
    </row>
    <row r="539" spans="1:5" x14ac:dyDescent="0.25">
      <c r="A539" t="s">
        <v>1274</v>
      </c>
      <c r="B539">
        <v>1</v>
      </c>
      <c r="C539" t="s">
        <v>198</v>
      </c>
      <c r="D539" t="s">
        <v>2798</v>
      </c>
      <c r="E539" t="s">
        <v>2798</v>
      </c>
    </row>
    <row r="540" spans="1:5" x14ac:dyDescent="0.25">
      <c r="A540" t="s">
        <v>1302</v>
      </c>
      <c r="B540">
        <v>1</v>
      </c>
      <c r="C540" t="s">
        <v>198</v>
      </c>
      <c r="D540" t="s">
        <v>2799</v>
      </c>
      <c r="E540" t="s">
        <v>2799</v>
      </c>
    </row>
    <row r="541" spans="1:5" x14ac:dyDescent="0.25">
      <c r="A541" t="s">
        <v>2800</v>
      </c>
      <c r="B541">
        <v>1</v>
      </c>
      <c r="C541" t="s">
        <v>198</v>
      </c>
      <c r="D541" t="s">
        <v>2801</v>
      </c>
      <c r="E541" t="s">
        <v>2801</v>
      </c>
    </row>
    <row r="542" spans="1:5" x14ac:dyDescent="0.25">
      <c r="A542" t="s">
        <v>2802</v>
      </c>
      <c r="B542">
        <v>1</v>
      </c>
      <c r="C542" t="s">
        <v>198</v>
      </c>
      <c r="D542" t="s">
        <v>2803</v>
      </c>
      <c r="E542" t="s">
        <v>2803</v>
      </c>
    </row>
    <row r="543" spans="1:5" x14ac:dyDescent="0.25">
      <c r="A543" t="s">
        <v>1569</v>
      </c>
      <c r="B543">
        <v>1</v>
      </c>
      <c r="C543" t="s">
        <v>186</v>
      </c>
      <c r="D543" t="s">
        <v>2804</v>
      </c>
      <c r="E543" t="s">
        <v>2804</v>
      </c>
    </row>
    <row r="544" spans="1:5" x14ac:dyDescent="0.25">
      <c r="A544" t="s">
        <v>1616</v>
      </c>
      <c r="B544">
        <v>1</v>
      </c>
      <c r="C544" t="s">
        <v>198</v>
      </c>
      <c r="D544" t="s">
        <v>2805</v>
      </c>
      <c r="E544" t="s">
        <v>2805</v>
      </c>
    </row>
    <row r="545" spans="1:5" x14ac:dyDescent="0.25">
      <c r="A545" t="s">
        <v>1540</v>
      </c>
      <c r="B545">
        <v>1</v>
      </c>
      <c r="C545" t="s">
        <v>198</v>
      </c>
      <c r="D545" t="s">
        <v>2806</v>
      </c>
      <c r="E545" t="s">
        <v>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Sheet1</vt:lpstr>
      <vt:lpstr>Drone details</vt:lpstr>
      <vt:lpstr>Customer details</vt:lpstr>
      <vt:lpstr>Dashboard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Ronak Devadiga</cp:lastModifiedBy>
  <cp:revision/>
  <dcterms:created xsi:type="dcterms:W3CDTF">2026-05-07T06:05:56Z</dcterms:created>
  <dcterms:modified xsi:type="dcterms:W3CDTF">2026-05-12T07:52:36Z</dcterms:modified>
  <cp:category/>
  <cp:contentStatus/>
</cp:coreProperties>
</file>